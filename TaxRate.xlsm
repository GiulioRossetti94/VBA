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Questa_cartella_di_lavoro" defaultThemeVersion="124226"/>
  <bookViews>
    <workbookView xWindow="480" yWindow="45" windowWidth="18195" windowHeight="11580" activeTab="1"/>
  </bookViews>
  <sheets>
    <sheet name="Foglio1" sheetId="1" r:id="rId1"/>
    <sheet name="Foglio2" sheetId="2" r:id="rId2"/>
    <sheet name="Foglio3" sheetId="3" r:id="rId3"/>
  </sheets>
  <functionGroups builtInGroupCount="17"/>
  <definedNames>
    <definedName name="solver_adj" localSheetId="1" hidden="1">Foglio2!$C$4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Foglio2!$C$25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</definedNames>
  <calcPr calcId="145621"/>
</workbook>
</file>

<file path=xl/calcChain.xml><?xml version="1.0" encoding="utf-8"?>
<calcChain xmlns="http://schemas.openxmlformats.org/spreadsheetml/2006/main">
  <c r="C14" i="2" l="1"/>
  <c r="D10" i="1"/>
  <c r="D9" i="1"/>
  <c r="D8" i="1"/>
  <c r="E7" i="1"/>
  <c r="D7" i="1"/>
  <c r="D14" i="2"/>
  <c r="D4" i="2"/>
  <c r="D21" i="2" l="1"/>
  <c r="D15" i="2"/>
  <c r="D11" i="2"/>
  <c r="D5" i="2"/>
  <c r="C25" i="2" l="1"/>
  <c r="D17" i="2"/>
  <c r="E17" i="2" s="1"/>
  <c r="D19" i="2"/>
  <c r="E19" i="2" s="1"/>
  <c r="D18" i="2"/>
  <c r="E18" i="2" s="1"/>
  <c r="D9" i="2"/>
  <c r="D8" i="2"/>
  <c r="D7" i="2"/>
</calcChain>
</file>

<file path=xl/sharedStrings.xml><?xml version="1.0" encoding="utf-8"?>
<sst xmlns="http://schemas.openxmlformats.org/spreadsheetml/2006/main" count="30" uniqueCount="20">
  <si>
    <t>T</t>
  </si>
  <si>
    <t>Netto</t>
  </si>
  <si>
    <t>mensile</t>
  </si>
  <si>
    <t>lordo</t>
  </si>
  <si>
    <t>tax</t>
  </si>
  <si>
    <t>Lordo</t>
  </si>
  <si>
    <t>Aliquota</t>
  </si>
  <si>
    <t>Taxes</t>
  </si>
  <si>
    <t>Mensile</t>
  </si>
  <si>
    <t>PreTax Income</t>
  </si>
  <si>
    <t>AfterTax Income</t>
  </si>
  <si>
    <t>Monthly Salary</t>
  </si>
  <si>
    <t>w/ 13</t>
  </si>
  <si>
    <t>w/ 14</t>
  </si>
  <si>
    <t>Effective Tax Rate</t>
  </si>
  <si>
    <t>In Euro</t>
  </si>
  <si>
    <t>EUR/GBP</t>
  </si>
  <si>
    <t>Annual Income</t>
  </si>
  <si>
    <t>Effective TR Italy</t>
  </si>
  <si>
    <t>Effective TR UK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</si>
</sst>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* #,##0.00\ &quot;€&quot;_-;\-* #,##0.00\ &quot;€&quot;_-;_-* &quot;-&quot;??\ &quot;€&quot;_-;_-@_-"/>
    <numFmt numFmtId="170" formatCode="0.000%"/>
    <numFmt numFmtId="171" formatCode="_-[$£-809]* #,##0.00_-;\-[$£-809]* #,##0.00_-;_-[$£-809]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">
    <xf numFmtId="0" fontId="0" fillId="0" borderId="0" xfId="0"/>
    <xf numFmtId="44" fontId="0" fillId="0" borderId="0" xfId="0" applyNumberFormat="1"/>
    <xf numFmtId="170" fontId="0" fillId="0" borderId="0" xfId="1" applyNumberFormat="1" applyFont="1"/>
    <xf numFmtId="0" fontId="2" fillId="0" borderId="0" xfId="0" applyFont="1"/>
    <xf numFmtId="44" fontId="0" fillId="0" borderId="0" xfId="0" applyNumberFormat="1" applyAlignment="1">
      <alignment horizontal="center" vertical="center"/>
    </xf>
    <xf numFmtId="44" fontId="0" fillId="0" borderId="0" xfId="0" applyNumberFormat="1" applyAlignment="1">
      <alignment horizontal="right"/>
    </xf>
    <xf numFmtId="44" fontId="2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0" fontId="0" fillId="0" borderId="0" xfId="1" applyNumberFormat="1" applyFont="1" applyAlignment="1">
      <alignment horizontal="right"/>
    </xf>
    <xf numFmtId="171" fontId="0" fillId="0" borderId="0" xfId="0" applyNumberFormat="1" applyAlignment="1">
      <alignment horizontal="center" vertical="center"/>
    </xf>
    <xf numFmtId="170" fontId="0" fillId="0" borderId="0" xfId="0" applyNumberFormat="1"/>
  </cellXfs>
  <cellStyles count="2">
    <cellStyle name="Normale" xfId="0" builtinId="0"/>
    <cellStyle name="Percentual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Foglio2!$L$7</c:f>
              <c:strCache>
                <c:ptCount val="1"/>
                <c:pt idx="0">
                  <c:v>Effective TR UK</c:v>
                </c:pt>
              </c:strCache>
            </c:strRef>
          </c:tx>
          <c:marker>
            <c:symbol val="none"/>
          </c:marker>
          <c:cat>
            <c:numRef>
              <c:f>Foglio2!$H$8:$H$126</c:f>
              <c:numCache>
                <c:formatCode>_("€"* #,##0.00_);_("€"* \(#,##0.00\);_("€"* "-"??_);_(@_)</c:formatCode>
                <c:ptCount val="119"/>
                <c:pt idx="0">
                  <c:v>10000</c:v>
                </c:pt>
                <c:pt idx="1">
                  <c:v>15000</c:v>
                </c:pt>
                <c:pt idx="2">
                  <c:v>20000</c:v>
                </c:pt>
                <c:pt idx="3">
                  <c:v>25000</c:v>
                </c:pt>
                <c:pt idx="4">
                  <c:v>30000</c:v>
                </c:pt>
                <c:pt idx="5">
                  <c:v>35000</c:v>
                </c:pt>
                <c:pt idx="6">
                  <c:v>40000</c:v>
                </c:pt>
                <c:pt idx="7">
                  <c:v>45000</c:v>
                </c:pt>
                <c:pt idx="8">
                  <c:v>50000</c:v>
                </c:pt>
                <c:pt idx="9">
                  <c:v>55000</c:v>
                </c:pt>
                <c:pt idx="10">
                  <c:v>60000</c:v>
                </c:pt>
                <c:pt idx="11">
                  <c:v>65000</c:v>
                </c:pt>
                <c:pt idx="12">
                  <c:v>70000</c:v>
                </c:pt>
                <c:pt idx="13">
                  <c:v>75000</c:v>
                </c:pt>
                <c:pt idx="14">
                  <c:v>80000</c:v>
                </c:pt>
                <c:pt idx="15">
                  <c:v>85000</c:v>
                </c:pt>
                <c:pt idx="16">
                  <c:v>90000</c:v>
                </c:pt>
                <c:pt idx="17">
                  <c:v>95000</c:v>
                </c:pt>
                <c:pt idx="18">
                  <c:v>100000</c:v>
                </c:pt>
                <c:pt idx="19">
                  <c:v>105000</c:v>
                </c:pt>
                <c:pt idx="20">
                  <c:v>110000</c:v>
                </c:pt>
                <c:pt idx="21">
                  <c:v>115000</c:v>
                </c:pt>
                <c:pt idx="22">
                  <c:v>120000</c:v>
                </c:pt>
                <c:pt idx="23">
                  <c:v>125000</c:v>
                </c:pt>
                <c:pt idx="24">
                  <c:v>130000</c:v>
                </c:pt>
                <c:pt idx="25">
                  <c:v>135000</c:v>
                </c:pt>
                <c:pt idx="26">
                  <c:v>140000</c:v>
                </c:pt>
                <c:pt idx="27">
                  <c:v>145000</c:v>
                </c:pt>
                <c:pt idx="28">
                  <c:v>150000</c:v>
                </c:pt>
                <c:pt idx="29">
                  <c:v>155000</c:v>
                </c:pt>
                <c:pt idx="30">
                  <c:v>160000</c:v>
                </c:pt>
                <c:pt idx="31">
                  <c:v>165000</c:v>
                </c:pt>
                <c:pt idx="32">
                  <c:v>170000</c:v>
                </c:pt>
                <c:pt idx="33">
                  <c:v>175000</c:v>
                </c:pt>
                <c:pt idx="34">
                  <c:v>180000</c:v>
                </c:pt>
                <c:pt idx="35">
                  <c:v>185000</c:v>
                </c:pt>
                <c:pt idx="36">
                  <c:v>190000</c:v>
                </c:pt>
                <c:pt idx="37">
                  <c:v>195000</c:v>
                </c:pt>
                <c:pt idx="38">
                  <c:v>200000</c:v>
                </c:pt>
                <c:pt idx="39">
                  <c:v>205000</c:v>
                </c:pt>
                <c:pt idx="40">
                  <c:v>210000</c:v>
                </c:pt>
                <c:pt idx="41">
                  <c:v>215000</c:v>
                </c:pt>
                <c:pt idx="42">
                  <c:v>220000</c:v>
                </c:pt>
                <c:pt idx="43">
                  <c:v>225000</c:v>
                </c:pt>
                <c:pt idx="44">
                  <c:v>230000</c:v>
                </c:pt>
                <c:pt idx="45">
                  <c:v>235000</c:v>
                </c:pt>
                <c:pt idx="46">
                  <c:v>240000</c:v>
                </c:pt>
                <c:pt idx="47">
                  <c:v>245000</c:v>
                </c:pt>
                <c:pt idx="48">
                  <c:v>250000</c:v>
                </c:pt>
                <c:pt idx="49">
                  <c:v>255000</c:v>
                </c:pt>
                <c:pt idx="50">
                  <c:v>260000</c:v>
                </c:pt>
                <c:pt idx="51">
                  <c:v>265000</c:v>
                </c:pt>
                <c:pt idx="52">
                  <c:v>270000</c:v>
                </c:pt>
                <c:pt idx="53">
                  <c:v>275000</c:v>
                </c:pt>
                <c:pt idx="54">
                  <c:v>280000</c:v>
                </c:pt>
                <c:pt idx="55">
                  <c:v>285000</c:v>
                </c:pt>
                <c:pt idx="56">
                  <c:v>290000</c:v>
                </c:pt>
                <c:pt idx="57">
                  <c:v>295000</c:v>
                </c:pt>
                <c:pt idx="58">
                  <c:v>300000</c:v>
                </c:pt>
                <c:pt idx="59">
                  <c:v>305000</c:v>
                </c:pt>
                <c:pt idx="60">
                  <c:v>310000</c:v>
                </c:pt>
                <c:pt idx="61">
                  <c:v>315000</c:v>
                </c:pt>
                <c:pt idx="62">
                  <c:v>320000</c:v>
                </c:pt>
                <c:pt idx="63">
                  <c:v>325000</c:v>
                </c:pt>
                <c:pt idx="64">
                  <c:v>330000</c:v>
                </c:pt>
                <c:pt idx="65">
                  <c:v>335000</c:v>
                </c:pt>
                <c:pt idx="66">
                  <c:v>340000</c:v>
                </c:pt>
                <c:pt idx="67">
                  <c:v>345000</c:v>
                </c:pt>
                <c:pt idx="68">
                  <c:v>350000</c:v>
                </c:pt>
                <c:pt idx="69">
                  <c:v>355000</c:v>
                </c:pt>
                <c:pt idx="70">
                  <c:v>360000</c:v>
                </c:pt>
                <c:pt idx="71">
                  <c:v>365000</c:v>
                </c:pt>
                <c:pt idx="72">
                  <c:v>370000</c:v>
                </c:pt>
                <c:pt idx="73">
                  <c:v>375000</c:v>
                </c:pt>
                <c:pt idx="74">
                  <c:v>380000</c:v>
                </c:pt>
                <c:pt idx="75">
                  <c:v>385000</c:v>
                </c:pt>
                <c:pt idx="76">
                  <c:v>390000</c:v>
                </c:pt>
                <c:pt idx="77">
                  <c:v>395000</c:v>
                </c:pt>
                <c:pt idx="78">
                  <c:v>400000</c:v>
                </c:pt>
                <c:pt idx="79">
                  <c:v>405000</c:v>
                </c:pt>
                <c:pt idx="80">
                  <c:v>410000</c:v>
                </c:pt>
                <c:pt idx="81">
                  <c:v>415000</c:v>
                </c:pt>
                <c:pt idx="82">
                  <c:v>420000</c:v>
                </c:pt>
                <c:pt idx="83">
                  <c:v>425000</c:v>
                </c:pt>
                <c:pt idx="84">
                  <c:v>430000</c:v>
                </c:pt>
                <c:pt idx="85">
                  <c:v>435000</c:v>
                </c:pt>
                <c:pt idx="86">
                  <c:v>440000</c:v>
                </c:pt>
                <c:pt idx="87">
                  <c:v>445000</c:v>
                </c:pt>
                <c:pt idx="88">
                  <c:v>450000</c:v>
                </c:pt>
                <c:pt idx="89">
                  <c:v>455000</c:v>
                </c:pt>
                <c:pt idx="90">
                  <c:v>460000</c:v>
                </c:pt>
                <c:pt idx="91">
                  <c:v>465000</c:v>
                </c:pt>
                <c:pt idx="92">
                  <c:v>470000</c:v>
                </c:pt>
                <c:pt idx="93">
                  <c:v>475000</c:v>
                </c:pt>
                <c:pt idx="94">
                  <c:v>480000</c:v>
                </c:pt>
                <c:pt idx="95">
                  <c:v>485000</c:v>
                </c:pt>
                <c:pt idx="96">
                  <c:v>490000</c:v>
                </c:pt>
                <c:pt idx="97">
                  <c:v>495000</c:v>
                </c:pt>
                <c:pt idx="98">
                  <c:v>500000</c:v>
                </c:pt>
                <c:pt idx="99">
                  <c:v>505000</c:v>
                </c:pt>
                <c:pt idx="100">
                  <c:v>510000</c:v>
                </c:pt>
                <c:pt idx="101">
                  <c:v>515000</c:v>
                </c:pt>
                <c:pt idx="102">
                  <c:v>520000</c:v>
                </c:pt>
                <c:pt idx="103">
                  <c:v>525000</c:v>
                </c:pt>
                <c:pt idx="104">
                  <c:v>530000</c:v>
                </c:pt>
                <c:pt idx="105">
                  <c:v>535000</c:v>
                </c:pt>
                <c:pt idx="106">
                  <c:v>540000</c:v>
                </c:pt>
                <c:pt idx="107">
                  <c:v>545000</c:v>
                </c:pt>
                <c:pt idx="108">
                  <c:v>550000</c:v>
                </c:pt>
                <c:pt idx="109">
                  <c:v>555000</c:v>
                </c:pt>
                <c:pt idx="110">
                  <c:v>560000</c:v>
                </c:pt>
                <c:pt idx="111">
                  <c:v>565000</c:v>
                </c:pt>
                <c:pt idx="112">
                  <c:v>570000</c:v>
                </c:pt>
                <c:pt idx="113">
                  <c:v>575000</c:v>
                </c:pt>
                <c:pt idx="114">
                  <c:v>580000</c:v>
                </c:pt>
                <c:pt idx="115">
                  <c:v>585000</c:v>
                </c:pt>
                <c:pt idx="116">
                  <c:v>590000</c:v>
                </c:pt>
                <c:pt idx="117">
                  <c:v>595000</c:v>
                </c:pt>
                <c:pt idx="118">
                  <c:v>600000</c:v>
                </c:pt>
              </c:numCache>
            </c:numRef>
          </c:cat>
          <c:val>
            <c:numRef>
              <c:f>Foglio2!$L$8:$L$126</c:f>
              <c:numCache>
                <c:formatCode>0.000%</c:formatCode>
                <c:ptCount val="119"/>
                <c:pt idx="0">
                  <c:v>0</c:v>
                </c:pt>
                <c:pt idx="1">
                  <c:v>2.2699014745157894E-2</c:v>
                </c:pt>
                <c:pt idx="2">
                  <c:v>6.7024261058868412E-2</c:v>
                </c:pt>
                <c:pt idx="3">
                  <c:v>9.3619408847094743E-2</c:v>
                </c:pt>
                <c:pt idx="4">
                  <c:v>0.11134950737257894</c:v>
                </c:pt>
                <c:pt idx="5">
                  <c:v>0.12401386346221054</c:v>
                </c:pt>
                <c:pt idx="6">
                  <c:v>0.1335121305294342</c:v>
                </c:pt>
                <c:pt idx="7">
                  <c:v>0.14089967158171932</c:v>
                </c:pt>
                <c:pt idx="8">
                  <c:v>0.14680970442354738</c:v>
                </c:pt>
                <c:pt idx="9">
                  <c:v>0.16250237183423891</c:v>
                </c:pt>
                <c:pt idx="10">
                  <c:v>0.18229384084805231</c:v>
                </c:pt>
                <c:pt idx="11">
                  <c:v>0.19904046847512522</c:v>
                </c:pt>
                <c:pt idx="12">
                  <c:v>0.21339472072690197</c:v>
                </c:pt>
                <c:pt idx="13">
                  <c:v>0.22583507267844186</c:v>
                </c:pt>
                <c:pt idx="14">
                  <c:v>0.23672038063603926</c:v>
                </c:pt>
                <c:pt idx="15">
                  <c:v>0.24632506412803695</c:v>
                </c:pt>
                <c:pt idx="16">
                  <c:v>0.25486256056536821</c:v>
                </c:pt>
                <c:pt idx="17">
                  <c:v>0.26250137316719097</c:v>
                </c:pt>
                <c:pt idx="18">
                  <c:v>0.26937630450883138</c:v>
                </c:pt>
                <c:pt idx="19">
                  <c:v>0.27559648048460134</c:v>
                </c:pt>
                <c:pt idx="20">
                  <c:v>0.28125118591711945</c:v>
                </c:pt>
                <c:pt idx="21">
                  <c:v>0.28641417783376644</c:v>
                </c:pt>
                <c:pt idx="22">
                  <c:v>0.29114692042402618</c:v>
                </c:pt>
                <c:pt idx="23">
                  <c:v>0.29550104360706514</c:v>
                </c:pt>
                <c:pt idx="24">
                  <c:v>0.29952023423756263</c:v>
                </c:pt>
                <c:pt idx="25">
                  <c:v>0.30324170704357883</c:v>
                </c:pt>
                <c:pt idx="26">
                  <c:v>0.30669736036345097</c:v>
                </c:pt>
                <c:pt idx="27">
                  <c:v>0.30991469276471129</c:v>
                </c:pt>
                <c:pt idx="28">
                  <c:v>0.31291753633922093</c:v>
                </c:pt>
                <c:pt idx="29">
                  <c:v>0.31572664807021383</c:v>
                </c:pt>
                <c:pt idx="30">
                  <c:v>0.3183601903180196</c:v>
                </c:pt>
                <c:pt idx="31">
                  <c:v>0.32083412394474631</c:v>
                </c:pt>
                <c:pt idx="32">
                  <c:v>0.32364763442464312</c:v>
                </c:pt>
                <c:pt idx="33">
                  <c:v>0.32725770201251048</c:v>
                </c:pt>
                <c:pt idx="34">
                  <c:v>0.33066721028994073</c:v>
                </c:pt>
                <c:pt idx="35">
                  <c:v>0.33389242082264503</c:v>
                </c:pt>
                <c:pt idx="36">
                  <c:v>0.33694788343257542</c:v>
                </c:pt>
                <c:pt idx="37">
                  <c:v>0.33984665565225303</c:v>
                </c:pt>
                <c:pt idx="38">
                  <c:v>0.34260048926094666</c:v>
                </c:pt>
                <c:pt idx="39">
                  <c:v>0.3452199895228748</c:v>
                </c:pt>
                <c:pt idx="40">
                  <c:v>0.34771475167709209</c:v>
                </c:pt>
                <c:pt idx="41">
                  <c:v>0.350093478382276</c:v>
                </c:pt>
                <c:pt idx="42">
                  <c:v>0.35236408114631518</c:v>
                </c:pt>
                <c:pt idx="43">
                  <c:v>0.35453376823195254</c:v>
                </c:pt>
                <c:pt idx="44">
                  <c:v>0.35660912109647541</c:v>
                </c:pt>
                <c:pt idx="45">
                  <c:v>0.35859616107314612</c:v>
                </c:pt>
                <c:pt idx="46">
                  <c:v>0.36050040771745556</c:v>
                </c:pt>
                <c:pt idx="47">
                  <c:v>0.36232693000893607</c:v>
                </c:pt>
                <c:pt idx="48">
                  <c:v>0.36408039140875731</c:v>
                </c:pt>
                <c:pt idx="49">
                  <c:v>0.36576508961642878</c:v>
                </c:pt>
                <c:pt idx="50">
                  <c:v>0.36738499173918976</c:v>
                </c:pt>
                <c:pt idx="51">
                  <c:v>0.36894376547995972</c:v>
                </c:pt>
                <c:pt idx="52">
                  <c:v>0.37044480685996045</c:v>
                </c:pt>
                <c:pt idx="53">
                  <c:v>0.37189126491705216</c:v>
                </c:pt>
                <c:pt idx="54">
                  <c:v>0.37328606375781903</c:v>
                </c:pt>
                <c:pt idx="55">
                  <c:v>0.3746319222883836</c:v>
                </c:pt>
                <c:pt idx="56">
                  <c:v>0.3759313719041012</c:v>
                </c:pt>
                <c:pt idx="57">
                  <c:v>0.37718677238030285</c:v>
                </c:pt>
                <c:pt idx="58">
                  <c:v>0.37840032617396446</c:v>
                </c:pt>
                <c:pt idx="59">
                  <c:v>0.37957409131865355</c:v>
                </c:pt>
                <c:pt idx="60">
                  <c:v>0.38070999307157855</c:v>
                </c:pt>
                <c:pt idx="61">
                  <c:v>0.38180983445139471</c:v>
                </c:pt>
                <c:pt idx="62">
                  <c:v>0.38287530578809165</c:v>
                </c:pt>
                <c:pt idx="63">
                  <c:v>0.38390799339135179</c:v>
                </c:pt>
                <c:pt idx="64">
                  <c:v>0.38490938743087677</c:v>
                </c:pt>
                <c:pt idx="65">
                  <c:v>0.38588088911101293</c:v>
                </c:pt>
                <c:pt idx="66">
                  <c:v>0.38682381721232156</c:v>
                </c:pt>
                <c:pt idx="67">
                  <c:v>0.38773941406431695</c:v>
                </c:pt>
                <c:pt idx="68">
                  <c:v>0.38862885100625527</c:v>
                </c:pt>
                <c:pt idx="69">
                  <c:v>0.38949323338644887</c:v>
                </c:pt>
                <c:pt idx="70">
                  <c:v>0.3903336051449704</c:v>
                </c:pt>
                <c:pt idx="71">
                  <c:v>0.39115095301969682</c:v>
                </c:pt>
                <c:pt idx="72">
                  <c:v>0.39194621041132249</c:v>
                </c:pt>
                <c:pt idx="73">
                  <c:v>0.39272026093917151</c:v>
                </c:pt>
                <c:pt idx="74">
                  <c:v>0.39347394171628769</c:v>
                </c:pt>
                <c:pt idx="75">
                  <c:v>0.394208046369323</c:v>
                </c:pt>
                <c:pt idx="76">
                  <c:v>0.39492332782612655</c:v>
                </c:pt>
                <c:pt idx="77">
                  <c:v>0.3956205008916186</c:v>
                </c:pt>
                <c:pt idx="78">
                  <c:v>0.39630024463047336</c:v>
                </c:pt>
                <c:pt idx="79">
                  <c:v>0.39696320457330697</c:v>
                </c:pt>
                <c:pt idx="80">
                  <c:v>0.39760999476143738</c:v>
                </c:pt>
                <c:pt idx="81">
                  <c:v>0.3982411996438297</c:v>
                </c:pt>
                <c:pt idx="82">
                  <c:v>0.39885737583854602</c:v>
                </c:pt>
                <c:pt idx="83">
                  <c:v>0.3994590537698573</c:v>
                </c:pt>
                <c:pt idx="84">
                  <c:v>0.40004673919113803</c:v>
                </c:pt>
                <c:pt idx="85">
                  <c:v>0.40062091460273414</c:v>
                </c:pt>
                <c:pt idx="86">
                  <c:v>0.40118204057315759</c:v>
                </c:pt>
                <c:pt idx="87">
                  <c:v>0.40173055697121202</c:v>
                </c:pt>
                <c:pt idx="88">
                  <c:v>0.40226688411597628</c:v>
                </c:pt>
                <c:pt idx="89">
                  <c:v>0.40279142385096556</c:v>
                </c:pt>
                <c:pt idx="90">
                  <c:v>0.40330456054823766</c:v>
                </c:pt>
                <c:pt idx="91">
                  <c:v>0.40380666204771898</c:v>
                </c:pt>
                <c:pt idx="92">
                  <c:v>0.40429808053657307</c:v>
                </c:pt>
                <c:pt idx="93">
                  <c:v>0.40477915337303022</c:v>
                </c:pt>
                <c:pt idx="94">
                  <c:v>0.40525020385872779</c:v>
                </c:pt>
                <c:pt idx="95">
                  <c:v>0.40571154196327697</c:v>
                </c:pt>
                <c:pt idx="96">
                  <c:v>0.40616346500446804</c:v>
                </c:pt>
                <c:pt idx="97">
                  <c:v>0.40660625828725117</c:v>
                </c:pt>
                <c:pt idx="98">
                  <c:v>0.40704019570437866</c:v>
                </c:pt>
                <c:pt idx="99">
                  <c:v>0.407465540301365</c:v>
                </c:pt>
                <c:pt idx="100">
                  <c:v>0.40788254480821434</c:v>
                </c:pt>
                <c:pt idx="101">
                  <c:v>0.40829145214017343</c:v>
                </c:pt>
                <c:pt idx="102">
                  <c:v>0.40869249586959489</c:v>
                </c:pt>
                <c:pt idx="103">
                  <c:v>0.40908590067083683</c:v>
                </c:pt>
                <c:pt idx="104">
                  <c:v>0.40947188273997986</c:v>
                </c:pt>
                <c:pt idx="105">
                  <c:v>0.40985065019100808</c:v>
                </c:pt>
                <c:pt idx="106">
                  <c:v>0.41022240342998023</c:v>
                </c:pt>
                <c:pt idx="107">
                  <c:v>0.41058733550860427</c:v>
                </c:pt>
                <c:pt idx="108">
                  <c:v>0.41094563245852606</c:v>
                </c:pt>
                <c:pt idx="109">
                  <c:v>0.41129747360754831</c:v>
                </c:pt>
                <c:pt idx="110">
                  <c:v>0.41164303187890955</c:v>
                </c:pt>
                <c:pt idx="111">
                  <c:v>0.41198247407467142</c:v>
                </c:pt>
                <c:pt idx="112">
                  <c:v>0.41231596114419183</c:v>
                </c:pt>
                <c:pt idx="113">
                  <c:v>0.41264364843859014</c:v>
                </c:pt>
                <c:pt idx="114">
                  <c:v>0.41296568595205058</c:v>
                </c:pt>
                <c:pt idx="115">
                  <c:v>0.41328221855075098</c:v>
                </c:pt>
                <c:pt idx="116">
                  <c:v>0.4135933861901514</c:v>
                </c:pt>
                <c:pt idx="117">
                  <c:v>0.41389932412132657</c:v>
                </c:pt>
                <c:pt idx="118">
                  <c:v>0.41420016308698226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Foglio2!$I$7</c:f>
              <c:strCache>
                <c:ptCount val="1"/>
                <c:pt idx="0">
                  <c:v>Effective TR Italy</c:v>
                </c:pt>
              </c:strCache>
            </c:strRef>
          </c:tx>
          <c:marker>
            <c:symbol val="none"/>
          </c:marker>
          <c:cat>
            <c:numRef>
              <c:f>Foglio2!$H$8:$H$126</c:f>
              <c:numCache>
                <c:formatCode>_("€"* #,##0.00_);_("€"* \(#,##0.00\);_("€"* "-"??_);_(@_)</c:formatCode>
                <c:ptCount val="119"/>
                <c:pt idx="0">
                  <c:v>10000</c:v>
                </c:pt>
                <c:pt idx="1">
                  <c:v>15000</c:v>
                </c:pt>
                <c:pt idx="2">
                  <c:v>20000</c:v>
                </c:pt>
                <c:pt idx="3">
                  <c:v>25000</c:v>
                </c:pt>
                <c:pt idx="4">
                  <c:v>30000</c:v>
                </c:pt>
                <c:pt idx="5">
                  <c:v>35000</c:v>
                </c:pt>
                <c:pt idx="6">
                  <c:v>40000</c:v>
                </c:pt>
                <c:pt idx="7">
                  <c:v>45000</c:v>
                </c:pt>
                <c:pt idx="8">
                  <c:v>50000</c:v>
                </c:pt>
                <c:pt idx="9">
                  <c:v>55000</c:v>
                </c:pt>
                <c:pt idx="10">
                  <c:v>60000</c:v>
                </c:pt>
                <c:pt idx="11">
                  <c:v>65000</c:v>
                </c:pt>
                <c:pt idx="12">
                  <c:v>70000</c:v>
                </c:pt>
                <c:pt idx="13">
                  <c:v>75000</c:v>
                </c:pt>
                <c:pt idx="14">
                  <c:v>80000</c:v>
                </c:pt>
                <c:pt idx="15">
                  <c:v>85000</c:v>
                </c:pt>
                <c:pt idx="16">
                  <c:v>90000</c:v>
                </c:pt>
                <c:pt idx="17">
                  <c:v>95000</c:v>
                </c:pt>
                <c:pt idx="18">
                  <c:v>100000</c:v>
                </c:pt>
                <c:pt idx="19">
                  <c:v>105000</c:v>
                </c:pt>
                <c:pt idx="20">
                  <c:v>110000</c:v>
                </c:pt>
                <c:pt idx="21">
                  <c:v>115000</c:v>
                </c:pt>
                <c:pt idx="22">
                  <c:v>120000</c:v>
                </c:pt>
                <c:pt idx="23">
                  <c:v>125000</c:v>
                </c:pt>
                <c:pt idx="24">
                  <c:v>130000</c:v>
                </c:pt>
                <c:pt idx="25">
                  <c:v>135000</c:v>
                </c:pt>
                <c:pt idx="26">
                  <c:v>140000</c:v>
                </c:pt>
                <c:pt idx="27">
                  <c:v>145000</c:v>
                </c:pt>
                <c:pt idx="28">
                  <c:v>150000</c:v>
                </c:pt>
                <c:pt idx="29">
                  <c:v>155000</c:v>
                </c:pt>
                <c:pt idx="30">
                  <c:v>160000</c:v>
                </c:pt>
                <c:pt idx="31">
                  <c:v>165000</c:v>
                </c:pt>
                <c:pt idx="32">
                  <c:v>170000</c:v>
                </c:pt>
                <c:pt idx="33">
                  <c:v>175000</c:v>
                </c:pt>
                <c:pt idx="34">
                  <c:v>180000</c:v>
                </c:pt>
                <c:pt idx="35">
                  <c:v>185000</c:v>
                </c:pt>
                <c:pt idx="36">
                  <c:v>190000</c:v>
                </c:pt>
                <c:pt idx="37">
                  <c:v>195000</c:v>
                </c:pt>
                <c:pt idx="38">
                  <c:v>200000</c:v>
                </c:pt>
                <c:pt idx="39">
                  <c:v>205000</c:v>
                </c:pt>
                <c:pt idx="40">
                  <c:v>210000</c:v>
                </c:pt>
                <c:pt idx="41">
                  <c:v>215000</c:v>
                </c:pt>
                <c:pt idx="42">
                  <c:v>220000</c:v>
                </c:pt>
                <c:pt idx="43">
                  <c:v>225000</c:v>
                </c:pt>
                <c:pt idx="44">
                  <c:v>230000</c:v>
                </c:pt>
                <c:pt idx="45">
                  <c:v>235000</c:v>
                </c:pt>
                <c:pt idx="46">
                  <c:v>240000</c:v>
                </c:pt>
                <c:pt idx="47">
                  <c:v>245000</c:v>
                </c:pt>
                <c:pt idx="48">
                  <c:v>250000</c:v>
                </c:pt>
                <c:pt idx="49">
                  <c:v>255000</c:v>
                </c:pt>
                <c:pt idx="50">
                  <c:v>260000</c:v>
                </c:pt>
                <c:pt idx="51">
                  <c:v>265000</c:v>
                </c:pt>
                <c:pt idx="52">
                  <c:v>270000</c:v>
                </c:pt>
                <c:pt idx="53">
                  <c:v>275000</c:v>
                </c:pt>
                <c:pt idx="54">
                  <c:v>280000</c:v>
                </c:pt>
                <c:pt idx="55">
                  <c:v>285000</c:v>
                </c:pt>
                <c:pt idx="56">
                  <c:v>290000</c:v>
                </c:pt>
                <c:pt idx="57">
                  <c:v>295000</c:v>
                </c:pt>
                <c:pt idx="58">
                  <c:v>300000</c:v>
                </c:pt>
                <c:pt idx="59">
                  <c:v>305000</c:v>
                </c:pt>
                <c:pt idx="60">
                  <c:v>310000</c:v>
                </c:pt>
                <c:pt idx="61">
                  <c:v>315000</c:v>
                </c:pt>
                <c:pt idx="62">
                  <c:v>320000</c:v>
                </c:pt>
                <c:pt idx="63">
                  <c:v>325000</c:v>
                </c:pt>
                <c:pt idx="64">
                  <c:v>330000</c:v>
                </c:pt>
                <c:pt idx="65">
                  <c:v>335000</c:v>
                </c:pt>
                <c:pt idx="66">
                  <c:v>340000</c:v>
                </c:pt>
                <c:pt idx="67">
                  <c:v>345000</c:v>
                </c:pt>
                <c:pt idx="68">
                  <c:v>350000</c:v>
                </c:pt>
                <c:pt idx="69">
                  <c:v>355000</c:v>
                </c:pt>
                <c:pt idx="70">
                  <c:v>360000</c:v>
                </c:pt>
                <c:pt idx="71">
                  <c:v>365000</c:v>
                </c:pt>
                <c:pt idx="72">
                  <c:v>370000</c:v>
                </c:pt>
                <c:pt idx="73">
                  <c:v>375000</c:v>
                </c:pt>
                <c:pt idx="74">
                  <c:v>380000</c:v>
                </c:pt>
                <c:pt idx="75">
                  <c:v>385000</c:v>
                </c:pt>
                <c:pt idx="76">
                  <c:v>390000</c:v>
                </c:pt>
                <c:pt idx="77">
                  <c:v>395000</c:v>
                </c:pt>
                <c:pt idx="78">
                  <c:v>400000</c:v>
                </c:pt>
                <c:pt idx="79">
                  <c:v>405000</c:v>
                </c:pt>
                <c:pt idx="80">
                  <c:v>410000</c:v>
                </c:pt>
                <c:pt idx="81">
                  <c:v>415000</c:v>
                </c:pt>
                <c:pt idx="82">
                  <c:v>420000</c:v>
                </c:pt>
                <c:pt idx="83">
                  <c:v>425000</c:v>
                </c:pt>
                <c:pt idx="84">
                  <c:v>430000</c:v>
                </c:pt>
                <c:pt idx="85">
                  <c:v>435000</c:v>
                </c:pt>
                <c:pt idx="86">
                  <c:v>440000</c:v>
                </c:pt>
                <c:pt idx="87">
                  <c:v>445000</c:v>
                </c:pt>
                <c:pt idx="88">
                  <c:v>450000</c:v>
                </c:pt>
                <c:pt idx="89">
                  <c:v>455000</c:v>
                </c:pt>
                <c:pt idx="90">
                  <c:v>460000</c:v>
                </c:pt>
                <c:pt idx="91">
                  <c:v>465000</c:v>
                </c:pt>
                <c:pt idx="92">
                  <c:v>470000</c:v>
                </c:pt>
                <c:pt idx="93">
                  <c:v>475000</c:v>
                </c:pt>
                <c:pt idx="94">
                  <c:v>480000</c:v>
                </c:pt>
                <c:pt idx="95">
                  <c:v>485000</c:v>
                </c:pt>
                <c:pt idx="96">
                  <c:v>490000</c:v>
                </c:pt>
                <c:pt idx="97">
                  <c:v>495000</c:v>
                </c:pt>
                <c:pt idx="98">
                  <c:v>500000</c:v>
                </c:pt>
                <c:pt idx="99">
                  <c:v>505000</c:v>
                </c:pt>
                <c:pt idx="100">
                  <c:v>510000</c:v>
                </c:pt>
                <c:pt idx="101">
                  <c:v>515000</c:v>
                </c:pt>
                <c:pt idx="102">
                  <c:v>520000</c:v>
                </c:pt>
                <c:pt idx="103">
                  <c:v>525000</c:v>
                </c:pt>
                <c:pt idx="104">
                  <c:v>530000</c:v>
                </c:pt>
                <c:pt idx="105">
                  <c:v>535000</c:v>
                </c:pt>
                <c:pt idx="106">
                  <c:v>540000</c:v>
                </c:pt>
                <c:pt idx="107">
                  <c:v>545000</c:v>
                </c:pt>
                <c:pt idx="108">
                  <c:v>550000</c:v>
                </c:pt>
                <c:pt idx="109">
                  <c:v>555000</c:v>
                </c:pt>
                <c:pt idx="110">
                  <c:v>560000</c:v>
                </c:pt>
                <c:pt idx="111">
                  <c:v>565000</c:v>
                </c:pt>
                <c:pt idx="112">
                  <c:v>570000</c:v>
                </c:pt>
                <c:pt idx="113">
                  <c:v>575000</c:v>
                </c:pt>
                <c:pt idx="114">
                  <c:v>580000</c:v>
                </c:pt>
                <c:pt idx="115">
                  <c:v>585000</c:v>
                </c:pt>
                <c:pt idx="116">
                  <c:v>590000</c:v>
                </c:pt>
                <c:pt idx="117">
                  <c:v>595000</c:v>
                </c:pt>
                <c:pt idx="118">
                  <c:v>600000</c:v>
                </c:pt>
              </c:numCache>
            </c:numRef>
          </c:cat>
          <c:val>
            <c:numRef>
              <c:f>Foglio2!$I$8:$I$126</c:f>
              <c:numCache>
                <c:formatCode>0.000%</c:formatCode>
                <c:ptCount val="119"/>
                <c:pt idx="0">
                  <c:v>0.23</c:v>
                </c:pt>
                <c:pt idx="1">
                  <c:v>0.23</c:v>
                </c:pt>
                <c:pt idx="2">
                  <c:v>0.24</c:v>
                </c:pt>
                <c:pt idx="3">
                  <c:v>0.246</c:v>
                </c:pt>
                <c:pt idx="4">
                  <c:v>0.25733333333333336</c:v>
                </c:pt>
                <c:pt idx="5">
                  <c:v>0.27485714285714286</c:v>
                </c:pt>
                <c:pt idx="6">
                  <c:v>0.28799999999999998</c:v>
                </c:pt>
                <c:pt idx="7">
                  <c:v>0.29822222222222222</c:v>
                </c:pt>
                <c:pt idx="8">
                  <c:v>0.30640000000000001</c:v>
                </c:pt>
                <c:pt idx="9">
                  <c:v>0.31309090909090909</c:v>
                </c:pt>
                <c:pt idx="10">
                  <c:v>0.32116666666666666</c:v>
                </c:pt>
                <c:pt idx="11">
                  <c:v>0.32800000000000001</c:v>
                </c:pt>
                <c:pt idx="12">
                  <c:v>0.33385714285714285</c:v>
                </c:pt>
                <c:pt idx="13">
                  <c:v>0.33893333333333331</c:v>
                </c:pt>
                <c:pt idx="14">
                  <c:v>0.34462500000000001</c:v>
                </c:pt>
                <c:pt idx="15">
                  <c:v>0.34964705882352942</c:v>
                </c:pt>
                <c:pt idx="16">
                  <c:v>0.3541111111111111</c:v>
                </c:pt>
                <c:pt idx="17">
                  <c:v>0.35810526315789476</c:v>
                </c:pt>
                <c:pt idx="18">
                  <c:v>0.36170000000000002</c:v>
                </c:pt>
                <c:pt idx="19">
                  <c:v>0.36495238095238097</c:v>
                </c:pt>
                <c:pt idx="20">
                  <c:v>0.36790909090909091</c:v>
                </c:pt>
                <c:pt idx="21">
                  <c:v>0.37060869565217391</c:v>
                </c:pt>
                <c:pt idx="22">
                  <c:v>0.37308333333333332</c:v>
                </c:pt>
                <c:pt idx="23">
                  <c:v>0.37536000000000003</c:v>
                </c:pt>
                <c:pt idx="24">
                  <c:v>0.37746153846153846</c:v>
                </c:pt>
                <c:pt idx="25">
                  <c:v>0.37940740740740742</c:v>
                </c:pt>
                <c:pt idx="26">
                  <c:v>0.38121428571428573</c:v>
                </c:pt>
                <c:pt idx="27">
                  <c:v>0.38289655172413795</c:v>
                </c:pt>
                <c:pt idx="28">
                  <c:v>0.38446666666666668</c:v>
                </c:pt>
                <c:pt idx="29">
                  <c:v>0.38593548387096777</c:v>
                </c:pt>
                <c:pt idx="30">
                  <c:v>0.3873125</c:v>
                </c:pt>
                <c:pt idx="31">
                  <c:v>0.38860606060606062</c:v>
                </c:pt>
                <c:pt idx="32">
                  <c:v>0.38982352941176468</c:v>
                </c:pt>
                <c:pt idx="33">
                  <c:v>0.39097142857142858</c:v>
                </c:pt>
                <c:pt idx="34">
                  <c:v>0.39205555555555555</c:v>
                </c:pt>
                <c:pt idx="35">
                  <c:v>0.39308108108108109</c:v>
                </c:pt>
                <c:pt idx="36">
                  <c:v>0.39405263157894738</c:v>
                </c:pt>
                <c:pt idx="37">
                  <c:v>0.39497435897435895</c:v>
                </c:pt>
                <c:pt idx="38">
                  <c:v>0.39584999999999998</c:v>
                </c:pt>
                <c:pt idx="39">
                  <c:v>0.39668292682926831</c:v>
                </c:pt>
                <c:pt idx="40">
                  <c:v>0.39747619047619048</c:v>
                </c:pt>
                <c:pt idx="41">
                  <c:v>0.3982325581395349</c:v>
                </c:pt>
                <c:pt idx="42">
                  <c:v>0.39895454545454545</c:v>
                </c:pt>
                <c:pt idx="43">
                  <c:v>0.39964444444444447</c:v>
                </c:pt>
                <c:pt idx="44">
                  <c:v>0.40030434782608698</c:v>
                </c:pt>
                <c:pt idx="45">
                  <c:v>0.40093617021276595</c:v>
                </c:pt>
                <c:pt idx="46">
                  <c:v>0.40154166666666669</c:v>
                </c:pt>
                <c:pt idx="47">
                  <c:v>0.40212244897959182</c:v>
                </c:pt>
                <c:pt idx="48">
                  <c:v>0.40267999999999998</c:v>
                </c:pt>
                <c:pt idx="49">
                  <c:v>0.40321568627450982</c:v>
                </c:pt>
                <c:pt idx="50">
                  <c:v>0.40373076923076923</c:v>
                </c:pt>
                <c:pt idx="51">
                  <c:v>0.4042264150943396</c:v>
                </c:pt>
                <c:pt idx="52">
                  <c:v>0.40470370370370368</c:v>
                </c:pt>
                <c:pt idx="53">
                  <c:v>0.40516363636363634</c:v>
                </c:pt>
                <c:pt idx="54">
                  <c:v>0.40560714285714283</c:v>
                </c:pt>
                <c:pt idx="55">
                  <c:v>0.40603508771929825</c:v>
                </c:pt>
                <c:pt idx="56">
                  <c:v>0.40644827586206894</c:v>
                </c:pt>
                <c:pt idx="57">
                  <c:v>0.40684745762711866</c:v>
                </c:pt>
                <c:pt idx="58">
                  <c:v>0.40723333333333334</c:v>
                </c:pt>
                <c:pt idx="59">
                  <c:v>0.40760655737704921</c:v>
                </c:pt>
                <c:pt idx="60">
                  <c:v>0.40796774193548385</c:v>
                </c:pt>
                <c:pt idx="61">
                  <c:v>0.4083174603174603</c:v>
                </c:pt>
                <c:pt idx="62">
                  <c:v>0.40865625</c:v>
                </c:pt>
                <c:pt idx="63">
                  <c:v>0.40898461538461539</c:v>
                </c:pt>
                <c:pt idx="64">
                  <c:v>0.40930303030303028</c:v>
                </c:pt>
                <c:pt idx="65">
                  <c:v>0.40961194029850745</c:v>
                </c:pt>
                <c:pt idx="66">
                  <c:v>0.40991176470588236</c:v>
                </c:pt>
                <c:pt idx="67">
                  <c:v>0.41020289855072462</c:v>
                </c:pt>
                <c:pt idx="68">
                  <c:v>0.41048571428571429</c:v>
                </c:pt>
                <c:pt idx="69">
                  <c:v>0.41076056338028166</c:v>
                </c:pt>
                <c:pt idx="70">
                  <c:v>0.41102777777777777</c:v>
                </c:pt>
                <c:pt idx="71">
                  <c:v>0.41128767123287674</c:v>
                </c:pt>
                <c:pt idx="72">
                  <c:v>0.41154054054054057</c:v>
                </c:pt>
                <c:pt idx="73">
                  <c:v>0.41178666666666669</c:v>
                </c:pt>
                <c:pt idx="74">
                  <c:v>0.41202631578947368</c:v>
                </c:pt>
                <c:pt idx="75">
                  <c:v>0.41225974025974027</c:v>
                </c:pt>
                <c:pt idx="76">
                  <c:v>0.4124871794871795</c:v>
                </c:pt>
                <c:pt idx="77">
                  <c:v>0.41270886075949365</c:v>
                </c:pt>
                <c:pt idx="78">
                  <c:v>0.41292499999999999</c:v>
                </c:pt>
                <c:pt idx="79">
                  <c:v>0.41313580246913578</c:v>
                </c:pt>
                <c:pt idx="80">
                  <c:v>0.41334146341463412</c:v>
                </c:pt>
                <c:pt idx="81">
                  <c:v>0.41354216867469878</c:v>
                </c:pt>
                <c:pt idx="82">
                  <c:v>0.41373809523809524</c:v>
                </c:pt>
                <c:pt idx="83">
                  <c:v>0.41392941176470588</c:v>
                </c:pt>
                <c:pt idx="84">
                  <c:v>0.41411627906976745</c:v>
                </c:pt>
                <c:pt idx="85">
                  <c:v>0.41429885057471266</c:v>
                </c:pt>
                <c:pt idx="86">
                  <c:v>0.41447727272727275</c:v>
                </c:pt>
                <c:pt idx="87">
                  <c:v>0.41465168539325842</c:v>
                </c:pt>
                <c:pt idx="88">
                  <c:v>0.4148222222222222</c:v>
                </c:pt>
                <c:pt idx="89">
                  <c:v>0.41498901098901098</c:v>
                </c:pt>
                <c:pt idx="90">
                  <c:v>0.41515217391304349</c:v>
                </c:pt>
                <c:pt idx="91">
                  <c:v>0.41531182795698923</c:v>
                </c:pt>
                <c:pt idx="92">
                  <c:v>0.415468085106383</c:v>
                </c:pt>
                <c:pt idx="93">
                  <c:v>0.41562105263157895</c:v>
                </c:pt>
                <c:pt idx="94">
                  <c:v>0.41577083333333331</c:v>
                </c:pt>
                <c:pt idx="95">
                  <c:v>0.41591752577319585</c:v>
                </c:pt>
                <c:pt idx="96">
                  <c:v>0.41606122448979593</c:v>
                </c:pt>
                <c:pt idx="97">
                  <c:v>0.41620202020202018</c:v>
                </c:pt>
                <c:pt idx="98">
                  <c:v>0.41633999999999999</c:v>
                </c:pt>
                <c:pt idx="99">
                  <c:v>0.41647524752475246</c:v>
                </c:pt>
                <c:pt idx="100">
                  <c:v>0.41660784313725491</c:v>
                </c:pt>
                <c:pt idx="101">
                  <c:v>0.41673786407766988</c:v>
                </c:pt>
                <c:pt idx="102">
                  <c:v>0.41686538461538464</c:v>
                </c:pt>
                <c:pt idx="103">
                  <c:v>0.41699047619047619</c:v>
                </c:pt>
                <c:pt idx="104">
                  <c:v>0.4171132075471698</c:v>
                </c:pt>
                <c:pt idx="105">
                  <c:v>0.41723364485981307</c:v>
                </c:pt>
                <c:pt idx="106">
                  <c:v>0.41735185185185186</c:v>
                </c:pt>
                <c:pt idx="107">
                  <c:v>0.4174678899082569</c:v>
                </c:pt>
                <c:pt idx="108">
                  <c:v>0.41758181818181817</c:v>
                </c:pt>
                <c:pt idx="109">
                  <c:v>0.41769369369369369</c:v>
                </c:pt>
                <c:pt idx="110">
                  <c:v>0.41780357142857144</c:v>
                </c:pt>
                <c:pt idx="111">
                  <c:v>0.41791150442477876</c:v>
                </c:pt>
                <c:pt idx="112">
                  <c:v>0.41801754385964912</c:v>
                </c:pt>
                <c:pt idx="113">
                  <c:v>0.41812173913043477</c:v>
                </c:pt>
                <c:pt idx="114">
                  <c:v>0.41822413793103447</c:v>
                </c:pt>
                <c:pt idx="115">
                  <c:v>0.41832478632478631</c:v>
                </c:pt>
                <c:pt idx="116">
                  <c:v>0.41842372881355933</c:v>
                </c:pt>
                <c:pt idx="117">
                  <c:v>0.41852100840336137</c:v>
                </c:pt>
                <c:pt idx="118">
                  <c:v>0.41861666666666669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618304"/>
        <c:axId val="171620224"/>
      </c:lineChart>
      <c:catAx>
        <c:axId val="171618304"/>
        <c:scaling>
          <c:orientation val="minMax"/>
        </c:scaling>
        <c:delete val="0"/>
        <c:axPos val="b"/>
        <c:numFmt formatCode="_(&quot;€&quot;* #,##0.00_);_(&quot;€&quot;* \(#,##0.00\);_(&quot;€&quot;* &quot;-&quot;??_);_(@_)" sourceLinked="1"/>
        <c:majorTickMark val="out"/>
        <c:minorTickMark val="none"/>
        <c:tickLblPos val="nextTo"/>
        <c:crossAx val="171620224"/>
        <c:crosses val="autoZero"/>
        <c:auto val="1"/>
        <c:lblAlgn val="ctr"/>
        <c:lblOffset val="100"/>
        <c:noMultiLvlLbl val="0"/>
      </c:catAx>
      <c:valAx>
        <c:axId val="171620224"/>
        <c:scaling>
          <c:orientation val="minMax"/>
        </c:scaling>
        <c:delete val="0"/>
        <c:axPos val="l"/>
        <c:majorGridlines/>
        <c:numFmt formatCode="0.000%" sourceLinked="1"/>
        <c:majorTickMark val="out"/>
        <c:minorTickMark val="none"/>
        <c:tickLblPos val="nextTo"/>
        <c:crossAx val="171618304"/>
        <c:crosses val="autoZero"/>
        <c:crossBetween val="between"/>
      </c:valAx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5</xdr:row>
      <xdr:rowOff>190499</xdr:rowOff>
    </xdr:from>
    <xdr:to>
      <xdr:col>32</xdr:col>
      <xdr:colOff>361950</xdr:colOff>
      <xdr:row>35</xdr:row>
      <xdr:rowOff>28575</xdr:rowOff>
    </xdr:to>
    <xdr:graphicFrame macro="">
      <xdr:nvGraphicFramePr>
        <xdr:cNvPr id="3" name="Gra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B6:E18"/>
  <sheetViews>
    <sheetView workbookViewId="0">
      <selection activeCell="D14" sqref="D14"/>
    </sheetView>
  </sheetViews>
  <sheetFormatPr defaultRowHeight="15" x14ac:dyDescent="0.25"/>
  <sheetData>
    <row r="6" spans="2:5" x14ac:dyDescent="0.25">
      <c r="E6" t="s">
        <v>4</v>
      </c>
    </row>
    <row r="7" spans="2:5" x14ac:dyDescent="0.25">
      <c r="C7" t="s">
        <v>3</v>
      </c>
      <c r="D7">
        <f>1700*12+1550*2</f>
        <v>23500</v>
      </c>
      <c r="E7">
        <f>+D7-15000</f>
        <v>8500</v>
      </c>
    </row>
    <row r="8" spans="2:5" x14ac:dyDescent="0.25">
      <c r="C8" t="s">
        <v>0</v>
      </c>
      <c r="D8">
        <f>3450+E7*0.27</f>
        <v>5745</v>
      </c>
    </row>
    <row r="9" spans="2:5" x14ac:dyDescent="0.25">
      <c r="C9" t="s">
        <v>1</v>
      </c>
      <c r="D9">
        <f>+D7-D8</f>
        <v>17755</v>
      </c>
    </row>
    <row r="10" spans="2:5" x14ac:dyDescent="0.25">
      <c r="C10" t="s">
        <v>2</v>
      </c>
      <c r="D10">
        <f>+D9/12</f>
        <v>1479.5833333333333</v>
      </c>
    </row>
    <row r="14" spans="2:5" x14ac:dyDescent="0.25">
      <c r="B14" t="s">
        <v>5</v>
      </c>
      <c r="C14">
        <v>75000</v>
      </c>
    </row>
    <row r="15" spans="2:5" x14ac:dyDescent="0.25">
      <c r="B15" t="s">
        <v>6</v>
      </c>
      <c r="C15">
        <v>0.43</v>
      </c>
    </row>
    <row r="16" spans="2:5" x14ac:dyDescent="0.25">
      <c r="B16" t="s">
        <v>7</v>
      </c>
    </row>
    <row r="17" spans="2:2" x14ac:dyDescent="0.25">
      <c r="B17" t="s">
        <v>1</v>
      </c>
    </row>
    <row r="18" spans="2:2" x14ac:dyDescent="0.25">
      <c r="B18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3:L126"/>
  <sheetViews>
    <sheetView tabSelected="1" workbookViewId="0">
      <selection activeCell="G8" sqref="G8"/>
    </sheetView>
  </sheetViews>
  <sheetFormatPr defaultRowHeight="15" x14ac:dyDescent="0.25"/>
  <cols>
    <col min="3" max="3" width="16.85546875" bestFit="1" customWidth="1"/>
    <col min="4" max="4" width="15.7109375" bestFit="1" customWidth="1"/>
    <col min="5" max="5" width="14.7109375" bestFit="1" customWidth="1"/>
    <col min="6" max="6" width="12" bestFit="1" customWidth="1"/>
    <col min="8" max="8" width="14.42578125" bestFit="1" customWidth="1"/>
    <col min="9" max="9" width="15.85546875" bestFit="1" customWidth="1"/>
    <col min="11" max="11" width="14.42578125" bestFit="1" customWidth="1"/>
    <col min="12" max="12" width="9.28515625" customWidth="1"/>
  </cols>
  <sheetData>
    <row r="3" spans="1:12" x14ac:dyDescent="0.25">
      <c r="C3" t="s">
        <v>9</v>
      </c>
      <c r="D3" t="s">
        <v>7</v>
      </c>
    </row>
    <row r="4" spans="1:12" x14ac:dyDescent="0.25">
      <c r="C4" s="4">
        <v>732494.85730398621</v>
      </c>
      <c r="D4" s="5">
        <f>+taxPaid(C4)</f>
        <v>308142.78863900003</v>
      </c>
      <c r="F4" s="1"/>
    </row>
    <row r="5" spans="1:12" x14ac:dyDescent="0.25">
      <c r="C5" s="3" t="s">
        <v>10</v>
      </c>
      <c r="D5" s="6">
        <f>+C4-D4</f>
        <v>424352.06866498617</v>
      </c>
    </row>
    <row r="6" spans="1:12" x14ac:dyDescent="0.25">
      <c r="D6" s="7"/>
    </row>
    <row r="7" spans="1:12" x14ac:dyDescent="0.25">
      <c r="C7" t="s">
        <v>11</v>
      </c>
      <c r="D7" s="5">
        <f>+D5/12</f>
        <v>35362.672388748848</v>
      </c>
      <c r="E7" s="1"/>
      <c r="H7" t="s">
        <v>17</v>
      </c>
      <c r="I7" s="10" t="s">
        <v>18</v>
      </c>
      <c r="K7" t="s">
        <v>17</v>
      </c>
      <c r="L7" s="10" t="s">
        <v>19</v>
      </c>
    </row>
    <row r="8" spans="1:12" x14ac:dyDescent="0.25">
      <c r="C8" t="s">
        <v>12</v>
      </c>
      <c r="D8" s="5">
        <f>+D5/13</f>
        <v>32642.466820383554</v>
      </c>
      <c r="H8" s="5">
        <v>10000</v>
      </c>
      <c r="I8" s="2">
        <v>0.23</v>
      </c>
      <c r="K8" s="5">
        <v>10000</v>
      </c>
      <c r="L8" s="2">
        <v>0</v>
      </c>
    </row>
    <row r="9" spans="1:12" x14ac:dyDescent="0.25">
      <c r="C9" t="s">
        <v>13</v>
      </c>
      <c r="D9" s="5">
        <f>+D5/14</f>
        <v>30310.862047499013</v>
      </c>
      <c r="H9" s="5">
        <v>15000</v>
      </c>
      <c r="I9" s="2">
        <v>0.23</v>
      </c>
      <c r="K9" s="5">
        <v>15000</v>
      </c>
      <c r="L9" s="2">
        <v>2.2699014745157894E-2</v>
      </c>
    </row>
    <row r="10" spans="1:12" x14ac:dyDescent="0.25">
      <c r="D10" s="7"/>
      <c r="H10" s="5">
        <v>20000</v>
      </c>
      <c r="I10" s="2">
        <v>0.24</v>
      </c>
      <c r="K10" s="5">
        <v>20000</v>
      </c>
      <c r="L10" s="2">
        <v>6.7024261058868412E-2</v>
      </c>
    </row>
    <row r="11" spans="1:12" x14ac:dyDescent="0.25">
      <c r="C11" t="s">
        <v>14</v>
      </c>
      <c r="D11" s="8">
        <f>+D4/C4</f>
        <v>0.42067570245222952</v>
      </c>
      <c r="H11" s="5">
        <v>25000</v>
      </c>
      <c r="I11" s="2">
        <v>0.246</v>
      </c>
      <c r="K11" s="5">
        <v>25000</v>
      </c>
      <c r="L11" s="2">
        <v>9.3619408847094743E-2</v>
      </c>
    </row>
    <row r="12" spans="1:12" x14ac:dyDescent="0.25">
      <c r="D12" s="7"/>
      <c r="H12" s="5">
        <v>30000</v>
      </c>
      <c r="I12" s="2">
        <v>0.25733333333333336</v>
      </c>
      <c r="K12" s="5">
        <v>30000</v>
      </c>
      <c r="L12" s="2">
        <v>0.11134950737257894</v>
      </c>
    </row>
    <row r="13" spans="1:12" x14ac:dyDescent="0.25">
      <c r="A13" t="s">
        <v>16</v>
      </c>
      <c r="C13" t="s">
        <v>9</v>
      </c>
      <c r="D13" t="s">
        <v>7</v>
      </c>
      <c r="H13" s="5">
        <v>35000</v>
      </c>
      <c r="I13" s="2">
        <v>0.27485714285714286</v>
      </c>
      <c r="K13" s="5">
        <v>35000</v>
      </c>
      <c r="L13" s="2">
        <v>0.12401386346221054</v>
      </c>
    </row>
    <row r="14" spans="1:12" x14ac:dyDescent="0.25">
      <c r="A14">
        <v>0.89114000000000004</v>
      </c>
      <c r="C14" s="9">
        <f>+C4*A14</f>
        <v>652755.46713787434</v>
      </c>
      <c r="D14" s="9">
        <f>+taxPaidUK(C14)</f>
        <v>274598.36021204345</v>
      </c>
      <c r="H14" s="5">
        <v>40000</v>
      </c>
      <c r="I14" s="2">
        <v>0.28799999999999998</v>
      </c>
      <c r="K14" s="5">
        <v>40000</v>
      </c>
      <c r="L14" s="2">
        <v>0.1335121305294342</v>
      </c>
    </row>
    <row r="15" spans="1:12" x14ac:dyDescent="0.25">
      <c r="C15" s="3" t="s">
        <v>10</v>
      </c>
      <c r="D15" s="9">
        <f>+C14-D14</f>
        <v>378157.10692583089</v>
      </c>
      <c r="H15" s="5">
        <v>45000</v>
      </c>
      <c r="I15" s="2">
        <v>0.29822222222222222</v>
      </c>
      <c r="K15" s="5">
        <v>45000</v>
      </c>
      <c r="L15" s="2">
        <v>0.14089967158171932</v>
      </c>
    </row>
    <row r="16" spans="1:12" x14ac:dyDescent="0.25">
      <c r="D16" s="7"/>
      <c r="E16" t="s">
        <v>15</v>
      </c>
      <c r="H16" s="5">
        <v>50000</v>
      </c>
      <c r="I16" s="2">
        <v>0.30640000000000001</v>
      </c>
      <c r="K16" s="5">
        <v>50000</v>
      </c>
      <c r="L16" s="2">
        <v>0.14680970442354738</v>
      </c>
    </row>
    <row r="17" spans="3:12" x14ac:dyDescent="0.25">
      <c r="C17" t="s">
        <v>11</v>
      </c>
      <c r="D17" s="9">
        <f>+D15/12</f>
        <v>31513.092243819239</v>
      </c>
      <c r="E17" s="4">
        <f>+D17/$A$14</f>
        <v>35362.672805416922</v>
      </c>
      <c r="H17" s="5">
        <v>55000</v>
      </c>
      <c r="I17" s="2">
        <v>0.31309090909090909</v>
      </c>
      <c r="K17" s="5">
        <v>55000</v>
      </c>
      <c r="L17" s="2">
        <v>0.16250237183423891</v>
      </c>
    </row>
    <row r="18" spans="3:12" x14ac:dyDescent="0.25">
      <c r="C18" t="s">
        <v>12</v>
      </c>
      <c r="D18" s="9">
        <f>+D15/13</f>
        <v>29089.008225063913</v>
      </c>
      <c r="E18" s="4">
        <f t="shared" ref="E18:E19" si="0">+D18/$A$14</f>
        <v>32642.467205000237</v>
      </c>
      <c r="H18" s="5">
        <v>60000</v>
      </c>
      <c r="I18" s="2">
        <v>0.32116666666666666</v>
      </c>
      <c r="K18" s="5">
        <v>60000</v>
      </c>
      <c r="L18" s="2">
        <v>0.18229384084805231</v>
      </c>
    </row>
    <row r="19" spans="3:12" x14ac:dyDescent="0.25">
      <c r="C19" t="s">
        <v>13</v>
      </c>
      <c r="D19" s="9">
        <f>+D15/14</f>
        <v>27011.221923273635</v>
      </c>
      <c r="E19" s="4">
        <f t="shared" si="0"/>
        <v>30310.862404643078</v>
      </c>
      <c r="H19" s="5">
        <v>65000</v>
      </c>
      <c r="I19" s="2">
        <v>0.32800000000000001</v>
      </c>
      <c r="K19" s="5">
        <v>65000</v>
      </c>
      <c r="L19" s="2">
        <v>0.19904046847512522</v>
      </c>
    </row>
    <row r="20" spans="3:12" x14ac:dyDescent="0.25">
      <c r="D20" s="7"/>
      <c r="H20" s="5">
        <v>70000</v>
      </c>
      <c r="I20" s="2">
        <v>0.33385714285714285</v>
      </c>
      <c r="K20" s="5">
        <v>70000</v>
      </c>
      <c r="L20" s="2">
        <v>0.21339472072690197</v>
      </c>
    </row>
    <row r="21" spans="3:12" x14ac:dyDescent="0.25">
      <c r="C21" t="s">
        <v>14</v>
      </c>
      <c r="D21" s="8">
        <f>+D14/C14</f>
        <v>0.42067569562621998</v>
      </c>
      <c r="H21" s="5">
        <v>75000</v>
      </c>
      <c r="I21" s="2">
        <v>0.33893333333333331</v>
      </c>
      <c r="K21" s="5">
        <v>75000</v>
      </c>
      <c r="L21" s="2">
        <v>0.22583507267844186</v>
      </c>
    </row>
    <row r="22" spans="3:12" x14ac:dyDescent="0.25">
      <c r="H22" s="5">
        <v>80000</v>
      </c>
      <c r="I22" s="2">
        <v>0.34462500000000001</v>
      </c>
      <c r="K22" s="5">
        <v>80000</v>
      </c>
      <c r="L22" s="2">
        <v>0.23672038063603926</v>
      </c>
    </row>
    <row r="23" spans="3:12" x14ac:dyDescent="0.25">
      <c r="H23" s="5">
        <v>85000</v>
      </c>
      <c r="I23" s="2">
        <v>0.34964705882352942</v>
      </c>
      <c r="K23" s="5">
        <v>85000</v>
      </c>
      <c r="L23" s="2">
        <v>0.24632506412803695</v>
      </c>
    </row>
    <row r="24" spans="3:12" x14ac:dyDescent="0.25">
      <c r="H24" s="5">
        <v>90000</v>
      </c>
      <c r="I24" s="2">
        <v>0.3541111111111111</v>
      </c>
      <c r="K24" s="5">
        <v>90000</v>
      </c>
      <c r="L24" s="2">
        <v>0.25486256056536821</v>
      </c>
    </row>
    <row r="25" spans="3:12" x14ac:dyDescent="0.25">
      <c r="C25" s="10">
        <f>+D11-D21</f>
        <v>6.8260095353878114E-9</v>
      </c>
      <c r="H25" s="5">
        <v>95000</v>
      </c>
      <c r="I25" s="2">
        <v>0.35810526315789476</v>
      </c>
      <c r="K25" s="5">
        <v>95000</v>
      </c>
      <c r="L25" s="2">
        <v>0.26250137316719097</v>
      </c>
    </row>
    <row r="26" spans="3:12" x14ac:dyDescent="0.25">
      <c r="H26" s="5">
        <v>100000</v>
      </c>
      <c r="I26" s="2">
        <v>0.36170000000000002</v>
      </c>
      <c r="K26" s="5">
        <v>100000</v>
      </c>
      <c r="L26" s="2">
        <v>0.26937630450883138</v>
      </c>
    </row>
    <row r="27" spans="3:12" x14ac:dyDescent="0.25">
      <c r="H27" s="5">
        <v>105000</v>
      </c>
      <c r="I27" s="2">
        <v>0.36495238095238097</v>
      </c>
      <c r="K27" s="5">
        <v>105000</v>
      </c>
      <c r="L27" s="2">
        <v>0.27559648048460134</v>
      </c>
    </row>
    <row r="28" spans="3:12" x14ac:dyDescent="0.25">
      <c r="H28" s="5">
        <v>110000</v>
      </c>
      <c r="I28" s="2">
        <v>0.36790909090909091</v>
      </c>
      <c r="K28" s="5">
        <v>110000</v>
      </c>
      <c r="L28" s="2">
        <v>0.28125118591711945</v>
      </c>
    </row>
    <row r="29" spans="3:12" x14ac:dyDescent="0.25">
      <c r="H29" s="5">
        <v>115000</v>
      </c>
      <c r="I29" s="2">
        <v>0.37060869565217391</v>
      </c>
      <c r="K29" s="5">
        <v>115000</v>
      </c>
      <c r="L29" s="2">
        <v>0.28641417783376644</v>
      </c>
    </row>
    <row r="30" spans="3:12" x14ac:dyDescent="0.25">
      <c r="H30" s="5">
        <v>120000</v>
      </c>
      <c r="I30" s="2">
        <v>0.37308333333333332</v>
      </c>
      <c r="K30" s="5">
        <v>120000</v>
      </c>
      <c r="L30" s="2">
        <v>0.29114692042402618</v>
      </c>
    </row>
    <row r="31" spans="3:12" x14ac:dyDescent="0.25">
      <c r="H31" s="5">
        <v>125000</v>
      </c>
      <c r="I31" s="2">
        <v>0.37536000000000003</v>
      </c>
      <c r="K31" s="5">
        <v>125000</v>
      </c>
      <c r="L31" s="2">
        <v>0.29550104360706514</v>
      </c>
    </row>
    <row r="32" spans="3:12" x14ac:dyDescent="0.25">
      <c r="H32" s="5">
        <v>130000</v>
      </c>
      <c r="I32" s="2">
        <v>0.37746153846153846</v>
      </c>
      <c r="K32" s="5">
        <v>130000</v>
      </c>
      <c r="L32" s="2">
        <v>0.29952023423756263</v>
      </c>
    </row>
    <row r="33" spans="8:12" x14ac:dyDescent="0.25">
      <c r="H33" s="5">
        <v>135000</v>
      </c>
      <c r="I33" s="2">
        <v>0.37940740740740742</v>
      </c>
      <c r="K33" s="5">
        <v>135000</v>
      </c>
      <c r="L33" s="2">
        <v>0.30324170704357883</v>
      </c>
    </row>
    <row r="34" spans="8:12" x14ac:dyDescent="0.25">
      <c r="H34" s="5">
        <v>140000</v>
      </c>
      <c r="I34" s="2">
        <v>0.38121428571428573</v>
      </c>
      <c r="K34" s="5">
        <v>140000</v>
      </c>
      <c r="L34" s="2">
        <v>0.30669736036345097</v>
      </c>
    </row>
    <row r="35" spans="8:12" x14ac:dyDescent="0.25">
      <c r="H35" s="5">
        <v>145000</v>
      </c>
      <c r="I35" s="2">
        <v>0.38289655172413795</v>
      </c>
      <c r="K35" s="5">
        <v>145000</v>
      </c>
      <c r="L35" s="2">
        <v>0.30991469276471129</v>
      </c>
    </row>
    <row r="36" spans="8:12" x14ac:dyDescent="0.25">
      <c r="H36" s="5">
        <v>150000</v>
      </c>
      <c r="I36" s="2">
        <v>0.38446666666666668</v>
      </c>
      <c r="K36" s="5">
        <v>150000</v>
      </c>
      <c r="L36" s="2">
        <v>0.31291753633922093</v>
      </c>
    </row>
    <row r="37" spans="8:12" x14ac:dyDescent="0.25">
      <c r="H37" s="5">
        <v>155000</v>
      </c>
      <c r="I37" s="2">
        <v>0.38593548387096777</v>
      </c>
      <c r="K37" s="5">
        <v>155000</v>
      </c>
      <c r="L37" s="2">
        <v>0.31572664807021383</v>
      </c>
    </row>
    <row r="38" spans="8:12" x14ac:dyDescent="0.25">
      <c r="H38" s="5">
        <v>160000</v>
      </c>
      <c r="I38" s="2">
        <v>0.3873125</v>
      </c>
      <c r="K38" s="5">
        <v>160000</v>
      </c>
      <c r="L38" s="2">
        <v>0.3183601903180196</v>
      </c>
    </row>
    <row r="39" spans="8:12" x14ac:dyDescent="0.25">
      <c r="H39" s="5">
        <v>165000</v>
      </c>
      <c r="I39" s="2">
        <v>0.38860606060606062</v>
      </c>
      <c r="K39" s="5">
        <v>165000</v>
      </c>
      <c r="L39" s="2">
        <v>0.32083412394474631</v>
      </c>
    </row>
    <row r="40" spans="8:12" x14ac:dyDescent="0.25">
      <c r="H40" s="5">
        <v>170000</v>
      </c>
      <c r="I40" s="2">
        <v>0.38982352941176468</v>
      </c>
      <c r="K40" s="5">
        <v>170000</v>
      </c>
      <c r="L40" s="2">
        <v>0.32364763442464312</v>
      </c>
    </row>
    <row r="41" spans="8:12" x14ac:dyDescent="0.25">
      <c r="H41" s="5">
        <v>175000</v>
      </c>
      <c r="I41" s="2">
        <v>0.39097142857142858</v>
      </c>
      <c r="K41" s="5">
        <v>175000</v>
      </c>
      <c r="L41" s="2">
        <v>0.32725770201251048</v>
      </c>
    </row>
    <row r="42" spans="8:12" x14ac:dyDescent="0.25">
      <c r="H42" s="5">
        <v>180000</v>
      </c>
      <c r="I42" s="2">
        <v>0.39205555555555555</v>
      </c>
      <c r="K42" s="5">
        <v>180000</v>
      </c>
      <c r="L42" s="2">
        <v>0.33066721028994073</v>
      </c>
    </row>
    <row r="43" spans="8:12" x14ac:dyDescent="0.25">
      <c r="H43" s="5">
        <v>185000</v>
      </c>
      <c r="I43" s="2">
        <v>0.39308108108108109</v>
      </c>
      <c r="K43" s="5">
        <v>185000</v>
      </c>
      <c r="L43" s="2">
        <v>0.33389242082264503</v>
      </c>
    </row>
    <row r="44" spans="8:12" x14ac:dyDescent="0.25">
      <c r="H44" s="5">
        <v>190000</v>
      </c>
      <c r="I44" s="2">
        <v>0.39405263157894738</v>
      </c>
      <c r="K44" s="5">
        <v>190000</v>
      </c>
      <c r="L44" s="2">
        <v>0.33694788343257542</v>
      </c>
    </row>
    <row r="45" spans="8:12" x14ac:dyDescent="0.25">
      <c r="H45" s="5">
        <v>195000</v>
      </c>
      <c r="I45" s="2">
        <v>0.39497435897435895</v>
      </c>
      <c r="K45" s="5">
        <v>195000</v>
      </c>
      <c r="L45" s="2">
        <v>0.33984665565225303</v>
      </c>
    </row>
    <row r="46" spans="8:12" x14ac:dyDescent="0.25">
      <c r="H46" s="5">
        <v>200000</v>
      </c>
      <c r="I46" s="2">
        <v>0.39584999999999998</v>
      </c>
      <c r="K46" s="5">
        <v>200000</v>
      </c>
      <c r="L46" s="2">
        <v>0.34260048926094666</v>
      </c>
    </row>
    <row r="47" spans="8:12" x14ac:dyDescent="0.25">
      <c r="H47" s="5">
        <v>205000</v>
      </c>
      <c r="I47" s="2">
        <v>0.39668292682926831</v>
      </c>
      <c r="K47" s="5">
        <v>205000</v>
      </c>
      <c r="L47" s="2">
        <v>0.3452199895228748</v>
      </c>
    </row>
    <row r="48" spans="8:12" x14ac:dyDescent="0.25">
      <c r="H48" s="5">
        <v>210000</v>
      </c>
      <c r="I48" s="2">
        <v>0.39747619047619048</v>
      </c>
      <c r="K48" s="5">
        <v>210000</v>
      </c>
      <c r="L48" s="2">
        <v>0.34771475167709209</v>
      </c>
    </row>
    <row r="49" spans="8:12" x14ac:dyDescent="0.25">
      <c r="H49" s="5">
        <v>215000</v>
      </c>
      <c r="I49" s="2">
        <v>0.3982325581395349</v>
      </c>
      <c r="K49" s="5">
        <v>215000</v>
      </c>
      <c r="L49" s="2">
        <v>0.350093478382276</v>
      </c>
    </row>
    <row r="50" spans="8:12" x14ac:dyDescent="0.25">
      <c r="H50" s="5">
        <v>220000</v>
      </c>
      <c r="I50" s="2">
        <v>0.39895454545454545</v>
      </c>
      <c r="K50" s="5">
        <v>220000</v>
      </c>
      <c r="L50" s="2">
        <v>0.35236408114631518</v>
      </c>
    </row>
    <row r="51" spans="8:12" x14ac:dyDescent="0.25">
      <c r="H51" s="5">
        <v>225000</v>
      </c>
      <c r="I51" s="2">
        <v>0.39964444444444447</v>
      </c>
      <c r="K51" s="5">
        <v>225000</v>
      </c>
      <c r="L51" s="2">
        <v>0.35453376823195254</v>
      </c>
    </row>
    <row r="52" spans="8:12" x14ac:dyDescent="0.25">
      <c r="H52" s="5">
        <v>230000</v>
      </c>
      <c r="I52" s="2">
        <v>0.40030434782608698</v>
      </c>
      <c r="K52" s="5">
        <v>230000</v>
      </c>
      <c r="L52" s="2">
        <v>0.35660912109647541</v>
      </c>
    </row>
    <row r="53" spans="8:12" x14ac:dyDescent="0.25">
      <c r="H53" s="5">
        <v>235000</v>
      </c>
      <c r="I53" s="2">
        <v>0.40093617021276595</v>
      </c>
      <c r="K53" s="5">
        <v>235000</v>
      </c>
      <c r="L53" s="2">
        <v>0.35859616107314612</v>
      </c>
    </row>
    <row r="54" spans="8:12" x14ac:dyDescent="0.25">
      <c r="H54" s="5">
        <v>240000</v>
      </c>
      <c r="I54" s="2">
        <v>0.40154166666666669</v>
      </c>
      <c r="K54" s="5">
        <v>240000</v>
      </c>
      <c r="L54" s="2">
        <v>0.36050040771745556</v>
      </c>
    </row>
    <row r="55" spans="8:12" x14ac:dyDescent="0.25">
      <c r="H55" s="5">
        <v>245000</v>
      </c>
      <c r="I55" s="2">
        <v>0.40212244897959182</v>
      </c>
      <c r="K55" s="5">
        <v>245000</v>
      </c>
      <c r="L55" s="2">
        <v>0.36232693000893607</v>
      </c>
    </row>
    <row r="56" spans="8:12" x14ac:dyDescent="0.25">
      <c r="H56" s="5">
        <v>250000</v>
      </c>
      <c r="I56" s="2">
        <v>0.40267999999999998</v>
      </c>
      <c r="K56" s="5">
        <v>250000</v>
      </c>
      <c r="L56" s="2">
        <v>0.36408039140875731</v>
      </c>
    </row>
    <row r="57" spans="8:12" x14ac:dyDescent="0.25">
      <c r="H57" s="5">
        <v>255000</v>
      </c>
      <c r="I57" s="2">
        <v>0.40321568627450982</v>
      </c>
      <c r="K57" s="5">
        <v>255000</v>
      </c>
      <c r="L57" s="2">
        <v>0.36576508961642878</v>
      </c>
    </row>
    <row r="58" spans="8:12" x14ac:dyDescent="0.25">
      <c r="H58" s="5">
        <v>260000</v>
      </c>
      <c r="I58" s="2">
        <v>0.40373076923076923</v>
      </c>
      <c r="K58" s="5">
        <v>260000</v>
      </c>
      <c r="L58" s="2">
        <v>0.36738499173918976</v>
      </c>
    </row>
    <row r="59" spans="8:12" x14ac:dyDescent="0.25">
      <c r="H59" s="5">
        <v>265000</v>
      </c>
      <c r="I59" s="2">
        <v>0.4042264150943396</v>
      </c>
      <c r="K59" s="5">
        <v>265000</v>
      </c>
      <c r="L59" s="2">
        <v>0.36894376547995972</v>
      </c>
    </row>
    <row r="60" spans="8:12" x14ac:dyDescent="0.25">
      <c r="H60" s="5">
        <v>270000</v>
      </c>
      <c r="I60" s="2">
        <v>0.40470370370370368</v>
      </c>
      <c r="K60" s="5">
        <v>270000</v>
      </c>
      <c r="L60" s="2">
        <v>0.37044480685996045</v>
      </c>
    </row>
    <row r="61" spans="8:12" x14ac:dyDescent="0.25">
      <c r="H61" s="5">
        <v>275000</v>
      </c>
      <c r="I61" s="2">
        <v>0.40516363636363634</v>
      </c>
      <c r="K61" s="5">
        <v>275000</v>
      </c>
      <c r="L61" s="2">
        <v>0.37189126491705216</v>
      </c>
    </row>
    <row r="62" spans="8:12" x14ac:dyDescent="0.25">
      <c r="H62" s="5">
        <v>280000</v>
      </c>
      <c r="I62" s="2">
        <v>0.40560714285714283</v>
      </c>
      <c r="K62" s="5">
        <v>280000</v>
      </c>
      <c r="L62" s="2">
        <v>0.37328606375781903</v>
      </c>
    </row>
    <row r="63" spans="8:12" x14ac:dyDescent="0.25">
      <c r="H63" s="5">
        <v>285000</v>
      </c>
      <c r="I63" s="2">
        <v>0.40603508771929825</v>
      </c>
      <c r="K63" s="5">
        <v>285000</v>
      </c>
      <c r="L63" s="2">
        <v>0.3746319222883836</v>
      </c>
    </row>
    <row r="64" spans="8:12" x14ac:dyDescent="0.25">
      <c r="H64" s="5">
        <v>290000</v>
      </c>
      <c r="I64" s="2">
        <v>0.40644827586206894</v>
      </c>
      <c r="K64" s="5">
        <v>290000</v>
      </c>
      <c r="L64" s="2">
        <v>0.3759313719041012</v>
      </c>
    </row>
    <row r="65" spans="8:12" x14ac:dyDescent="0.25">
      <c r="H65" s="5">
        <v>295000</v>
      </c>
      <c r="I65" s="2">
        <v>0.40684745762711866</v>
      </c>
      <c r="K65" s="5">
        <v>295000</v>
      </c>
      <c r="L65" s="2">
        <v>0.37718677238030285</v>
      </c>
    </row>
    <row r="66" spans="8:12" x14ac:dyDescent="0.25">
      <c r="H66" s="5">
        <v>300000</v>
      </c>
      <c r="I66" s="2">
        <v>0.40723333333333334</v>
      </c>
      <c r="K66" s="5">
        <v>300000</v>
      </c>
      <c r="L66" s="2">
        <v>0.37840032617396446</v>
      </c>
    </row>
    <row r="67" spans="8:12" x14ac:dyDescent="0.25">
      <c r="H67" s="5">
        <v>305000</v>
      </c>
      <c r="I67" s="2">
        <v>0.40760655737704921</v>
      </c>
      <c r="K67" s="5">
        <v>305000</v>
      </c>
      <c r="L67" s="2">
        <v>0.37957409131865355</v>
      </c>
    </row>
    <row r="68" spans="8:12" x14ac:dyDescent="0.25">
      <c r="H68" s="5">
        <v>310000</v>
      </c>
      <c r="I68" s="2">
        <v>0.40796774193548385</v>
      </c>
      <c r="K68" s="5">
        <v>310000</v>
      </c>
      <c r="L68" s="2">
        <v>0.38070999307157855</v>
      </c>
    </row>
    <row r="69" spans="8:12" x14ac:dyDescent="0.25">
      <c r="H69" s="5">
        <v>315000</v>
      </c>
      <c r="I69" s="2">
        <v>0.4083174603174603</v>
      </c>
      <c r="K69" s="5">
        <v>315000</v>
      </c>
      <c r="L69" s="2">
        <v>0.38180983445139471</v>
      </c>
    </row>
    <row r="70" spans="8:12" x14ac:dyDescent="0.25">
      <c r="H70" s="5">
        <v>320000</v>
      </c>
      <c r="I70" s="2">
        <v>0.40865625</v>
      </c>
      <c r="K70" s="5">
        <v>320000</v>
      </c>
      <c r="L70" s="2">
        <v>0.38287530578809165</v>
      </c>
    </row>
    <row r="71" spans="8:12" x14ac:dyDescent="0.25">
      <c r="H71" s="5">
        <v>325000</v>
      </c>
      <c r="I71" s="2">
        <v>0.40898461538461539</v>
      </c>
      <c r="K71" s="5">
        <v>325000</v>
      </c>
      <c r="L71" s="2">
        <v>0.38390799339135179</v>
      </c>
    </row>
    <row r="72" spans="8:12" x14ac:dyDescent="0.25">
      <c r="H72" s="5">
        <v>330000</v>
      </c>
      <c r="I72" s="2">
        <v>0.40930303030303028</v>
      </c>
      <c r="K72" s="5">
        <v>330000</v>
      </c>
      <c r="L72" s="2">
        <v>0.38490938743087677</v>
      </c>
    </row>
    <row r="73" spans="8:12" x14ac:dyDescent="0.25">
      <c r="H73" s="5">
        <v>335000</v>
      </c>
      <c r="I73" s="2">
        <v>0.40961194029850745</v>
      </c>
      <c r="K73" s="5">
        <v>335000</v>
      </c>
      <c r="L73" s="2">
        <v>0.38588088911101293</v>
      </c>
    </row>
    <row r="74" spans="8:12" x14ac:dyDescent="0.25">
      <c r="H74" s="5">
        <v>340000</v>
      </c>
      <c r="I74" s="2">
        <v>0.40991176470588236</v>
      </c>
      <c r="K74" s="5">
        <v>340000</v>
      </c>
      <c r="L74" s="2">
        <v>0.38682381721232156</v>
      </c>
    </row>
    <row r="75" spans="8:12" x14ac:dyDescent="0.25">
      <c r="H75" s="5">
        <v>345000</v>
      </c>
      <c r="I75" s="2">
        <v>0.41020289855072462</v>
      </c>
      <c r="K75" s="5">
        <v>345000</v>
      </c>
      <c r="L75" s="2">
        <v>0.38773941406431695</v>
      </c>
    </row>
    <row r="76" spans="8:12" x14ac:dyDescent="0.25">
      <c r="H76" s="5">
        <v>350000</v>
      </c>
      <c r="I76" s="2">
        <v>0.41048571428571429</v>
      </c>
      <c r="K76" s="5">
        <v>350000</v>
      </c>
      <c r="L76" s="2">
        <v>0.38862885100625527</v>
      </c>
    </row>
    <row r="77" spans="8:12" x14ac:dyDescent="0.25">
      <c r="H77" s="5">
        <v>355000</v>
      </c>
      <c r="I77" s="2">
        <v>0.41076056338028166</v>
      </c>
      <c r="K77" s="5">
        <v>355000</v>
      </c>
      <c r="L77" s="2">
        <v>0.38949323338644887</v>
      </c>
    </row>
    <row r="78" spans="8:12" x14ac:dyDescent="0.25">
      <c r="H78" s="5">
        <v>360000</v>
      </c>
      <c r="I78" s="2">
        <v>0.41102777777777777</v>
      </c>
      <c r="K78" s="5">
        <v>360000</v>
      </c>
      <c r="L78" s="2">
        <v>0.3903336051449704</v>
      </c>
    </row>
    <row r="79" spans="8:12" x14ac:dyDescent="0.25">
      <c r="H79" s="5">
        <v>365000</v>
      </c>
      <c r="I79" s="2">
        <v>0.41128767123287674</v>
      </c>
      <c r="K79" s="5">
        <v>365000</v>
      </c>
      <c r="L79" s="2">
        <v>0.39115095301969682</v>
      </c>
    </row>
    <row r="80" spans="8:12" x14ac:dyDescent="0.25">
      <c r="H80" s="5">
        <v>370000</v>
      </c>
      <c r="I80" s="2">
        <v>0.41154054054054057</v>
      </c>
      <c r="K80" s="5">
        <v>370000</v>
      </c>
      <c r="L80" s="2">
        <v>0.39194621041132249</v>
      </c>
    </row>
    <row r="81" spans="8:12" x14ac:dyDescent="0.25">
      <c r="H81" s="5">
        <v>375000</v>
      </c>
      <c r="I81" s="2">
        <v>0.41178666666666669</v>
      </c>
      <c r="K81" s="5">
        <v>375000</v>
      </c>
      <c r="L81" s="2">
        <v>0.39272026093917151</v>
      </c>
    </row>
    <row r="82" spans="8:12" x14ac:dyDescent="0.25">
      <c r="H82" s="5">
        <v>380000</v>
      </c>
      <c r="I82" s="2">
        <v>0.41202631578947368</v>
      </c>
      <c r="K82" s="5">
        <v>380000</v>
      </c>
      <c r="L82" s="2">
        <v>0.39347394171628769</v>
      </c>
    </row>
    <row r="83" spans="8:12" x14ac:dyDescent="0.25">
      <c r="H83" s="5">
        <v>385000</v>
      </c>
      <c r="I83" s="2">
        <v>0.41225974025974027</v>
      </c>
      <c r="K83" s="5">
        <v>385000</v>
      </c>
      <c r="L83" s="2">
        <v>0.394208046369323</v>
      </c>
    </row>
    <row r="84" spans="8:12" x14ac:dyDescent="0.25">
      <c r="H84" s="5">
        <v>390000</v>
      </c>
      <c r="I84" s="2">
        <v>0.4124871794871795</v>
      </c>
      <c r="K84" s="5">
        <v>390000</v>
      </c>
      <c r="L84" s="2">
        <v>0.39492332782612655</v>
      </c>
    </row>
    <row r="85" spans="8:12" x14ac:dyDescent="0.25">
      <c r="H85" s="5">
        <v>395000</v>
      </c>
      <c r="I85" s="2">
        <v>0.41270886075949365</v>
      </c>
      <c r="K85" s="5">
        <v>395000</v>
      </c>
      <c r="L85" s="2">
        <v>0.3956205008916186</v>
      </c>
    </row>
    <row r="86" spans="8:12" x14ac:dyDescent="0.25">
      <c r="H86" s="5">
        <v>400000</v>
      </c>
      <c r="I86" s="2">
        <v>0.41292499999999999</v>
      </c>
      <c r="K86" s="5">
        <v>400000</v>
      </c>
      <c r="L86" s="2">
        <v>0.39630024463047336</v>
      </c>
    </row>
    <row r="87" spans="8:12" x14ac:dyDescent="0.25">
      <c r="H87" s="5">
        <v>405000</v>
      </c>
      <c r="I87" s="2">
        <v>0.41313580246913578</v>
      </c>
      <c r="K87" s="5">
        <v>405000</v>
      </c>
      <c r="L87" s="2">
        <v>0.39696320457330697</v>
      </c>
    </row>
    <row r="88" spans="8:12" x14ac:dyDescent="0.25">
      <c r="H88" s="5">
        <v>410000</v>
      </c>
      <c r="I88" s="2">
        <v>0.41334146341463412</v>
      </c>
      <c r="K88" s="5">
        <v>410000</v>
      </c>
      <c r="L88" s="2">
        <v>0.39760999476143738</v>
      </c>
    </row>
    <row r="89" spans="8:12" x14ac:dyDescent="0.25">
      <c r="H89" s="5">
        <v>415000</v>
      </c>
      <c r="I89" s="2">
        <v>0.41354216867469878</v>
      </c>
      <c r="K89" s="5">
        <v>415000</v>
      </c>
      <c r="L89" s="2">
        <v>0.3982411996438297</v>
      </c>
    </row>
    <row r="90" spans="8:12" x14ac:dyDescent="0.25">
      <c r="H90" s="5">
        <v>420000</v>
      </c>
      <c r="I90" s="2">
        <v>0.41373809523809524</v>
      </c>
      <c r="K90" s="5">
        <v>420000</v>
      </c>
      <c r="L90" s="2">
        <v>0.39885737583854602</v>
      </c>
    </row>
    <row r="91" spans="8:12" x14ac:dyDescent="0.25">
      <c r="H91" s="5">
        <v>425000</v>
      </c>
      <c r="I91" s="2">
        <v>0.41392941176470588</v>
      </c>
      <c r="K91" s="5">
        <v>425000</v>
      </c>
      <c r="L91" s="2">
        <v>0.3994590537698573</v>
      </c>
    </row>
    <row r="92" spans="8:12" x14ac:dyDescent="0.25">
      <c r="H92" s="5">
        <v>430000</v>
      </c>
      <c r="I92" s="2">
        <v>0.41411627906976745</v>
      </c>
      <c r="K92" s="5">
        <v>430000</v>
      </c>
      <c r="L92" s="2">
        <v>0.40004673919113803</v>
      </c>
    </row>
    <row r="93" spans="8:12" x14ac:dyDescent="0.25">
      <c r="H93" s="5">
        <v>435000</v>
      </c>
      <c r="I93" s="2">
        <v>0.41429885057471266</v>
      </c>
      <c r="K93" s="5">
        <v>435000</v>
      </c>
      <c r="L93" s="2">
        <v>0.40062091460273414</v>
      </c>
    </row>
    <row r="94" spans="8:12" x14ac:dyDescent="0.25">
      <c r="H94" s="5">
        <v>440000</v>
      </c>
      <c r="I94" s="2">
        <v>0.41447727272727275</v>
      </c>
      <c r="K94" s="5">
        <v>440000</v>
      </c>
      <c r="L94" s="2">
        <v>0.40118204057315759</v>
      </c>
    </row>
    <row r="95" spans="8:12" x14ac:dyDescent="0.25">
      <c r="H95" s="5">
        <v>445000</v>
      </c>
      <c r="I95" s="2">
        <v>0.41465168539325842</v>
      </c>
      <c r="K95" s="5">
        <v>445000</v>
      </c>
      <c r="L95" s="2">
        <v>0.40173055697121202</v>
      </c>
    </row>
    <row r="96" spans="8:12" x14ac:dyDescent="0.25">
      <c r="H96" s="5">
        <v>450000</v>
      </c>
      <c r="I96" s="2">
        <v>0.4148222222222222</v>
      </c>
      <c r="K96" s="5">
        <v>450000</v>
      </c>
      <c r="L96" s="2">
        <v>0.40226688411597628</v>
      </c>
    </row>
    <row r="97" spans="8:12" x14ac:dyDescent="0.25">
      <c r="H97" s="5">
        <v>455000</v>
      </c>
      <c r="I97" s="2">
        <v>0.41498901098901098</v>
      </c>
      <c r="K97" s="5">
        <v>455000</v>
      </c>
      <c r="L97" s="2">
        <v>0.40279142385096556</v>
      </c>
    </row>
    <row r="98" spans="8:12" x14ac:dyDescent="0.25">
      <c r="H98" s="5">
        <v>460000</v>
      </c>
      <c r="I98" s="2">
        <v>0.41515217391304349</v>
      </c>
      <c r="K98" s="5">
        <v>460000</v>
      </c>
      <c r="L98" s="2">
        <v>0.40330456054823766</v>
      </c>
    </row>
    <row r="99" spans="8:12" x14ac:dyDescent="0.25">
      <c r="H99" s="5">
        <v>465000</v>
      </c>
      <c r="I99" s="2">
        <v>0.41531182795698923</v>
      </c>
      <c r="K99" s="5">
        <v>465000</v>
      </c>
      <c r="L99" s="2">
        <v>0.40380666204771898</v>
      </c>
    </row>
    <row r="100" spans="8:12" x14ac:dyDescent="0.25">
      <c r="H100" s="5">
        <v>470000</v>
      </c>
      <c r="I100" s="2">
        <v>0.415468085106383</v>
      </c>
      <c r="K100" s="5">
        <v>470000</v>
      </c>
      <c r="L100" s="2">
        <v>0.40429808053657307</v>
      </c>
    </row>
    <row r="101" spans="8:12" x14ac:dyDescent="0.25">
      <c r="H101" s="5">
        <v>475000</v>
      </c>
      <c r="I101" s="2">
        <v>0.41562105263157895</v>
      </c>
      <c r="K101" s="5">
        <v>475000</v>
      </c>
      <c r="L101" s="2">
        <v>0.40477915337303022</v>
      </c>
    </row>
    <row r="102" spans="8:12" x14ac:dyDescent="0.25">
      <c r="H102" s="5">
        <v>480000</v>
      </c>
      <c r="I102" s="2">
        <v>0.41577083333333331</v>
      </c>
      <c r="K102" s="5">
        <v>480000</v>
      </c>
      <c r="L102" s="2">
        <v>0.40525020385872779</v>
      </c>
    </row>
    <row r="103" spans="8:12" x14ac:dyDescent="0.25">
      <c r="H103" s="5">
        <v>485000</v>
      </c>
      <c r="I103" s="2">
        <v>0.41591752577319585</v>
      </c>
      <c r="K103" s="5">
        <v>485000</v>
      </c>
      <c r="L103" s="2">
        <v>0.40571154196327697</v>
      </c>
    </row>
    <row r="104" spans="8:12" x14ac:dyDescent="0.25">
      <c r="H104" s="5">
        <v>490000</v>
      </c>
      <c r="I104" s="2">
        <v>0.41606122448979593</v>
      </c>
      <c r="K104" s="5">
        <v>490000</v>
      </c>
      <c r="L104" s="2">
        <v>0.40616346500446804</v>
      </c>
    </row>
    <row r="105" spans="8:12" x14ac:dyDescent="0.25">
      <c r="H105" s="5">
        <v>495000</v>
      </c>
      <c r="I105" s="2">
        <v>0.41620202020202018</v>
      </c>
      <c r="K105" s="5">
        <v>495000</v>
      </c>
      <c r="L105" s="2">
        <v>0.40660625828725117</v>
      </c>
    </row>
    <row r="106" spans="8:12" x14ac:dyDescent="0.25">
      <c r="H106" s="5">
        <v>500000</v>
      </c>
      <c r="I106" s="2">
        <v>0.41633999999999999</v>
      </c>
      <c r="K106" s="5">
        <v>500000</v>
      </c>
      <c r="L106" s="2">
        <v>0.40704019570437866</v>
      </c>
    </row>
    <row r="107" spans="8:12" x14ac:dyDescent="0.25">
      <c r="H107" s="5">
        <v>505000</v>
      </c>
      <c r="I107" s="2">
        <v>0.41647524752475246</v>
      </c>
      <c r="K107" s="5">
        <v>505000</v>
      </c>
      <c r="L107" s="2">
        <v>0.407465540301365</v>
      </c>
    </row>
    <row r="108" spans="8:12" x14ac:dyDescent="0.25">
      <c r="H108" s="5">
        <v>510000</v>
      </c>
      <c r="I108" s="2">
        <v>0.41660784313725491</v>
      </c>
      <c r="K108" s="5">
        <v>510000</v>
      </c>
      <c r="L108" s="2">
        <v>0.40788254480821434</v>
      </c>
    </row>
    <row r="109" spans="8:12" x14ac:dyDescent="0.25">
      <c r="H109" s="5">
        <v>515000</v>
      </c>
      <c r="I109" s="2">
        <v>0.41673786407766988</v>
      </c>
      <c r="K109" s="5">
        <v>515000</v>
      </c>
      <c r="L109" s="2">
        <v>0.40829145214017343</v>
      </c>
    </row>
    <row r="110" spans="8:12" x14ac:dyDescent="0.25">
      <c r="H110" s="5">
        <v>520000</v>
      </c>
      <c r="I110" s="2">
        <v>0.41686538461538464</v>
      </c>
      <c r="K110" s="5">
        <v>520000</v>
      </c>
      <c r="L110" s="2">
        <v>0.40869249586959489</v>
      </c>
    </row>
    <row r="111" spans="8:12" x14ac:dyDescent="0.25">
      <c r="H111" s="5">
        <v>525000</v>
      </c>
      <c r="I111" s="2">
        <v>0.41699047619047619</v>
      </c>
      <c r="K111" s="5">
        <v>525000</v>
      </c>
      <c r="L111" s="2">
        <v>0.40908590067083683</v>
      </c>
    </row>
    <row r="112" spans="8:12" x14ac:dyDescent="0.25">
      <c r="H112" s="5">
        <v>530000</v>
      </c>
      <c r="I112" s="2">
        <v>0.4171132075471698</v>
      </c>
      <c r="K112" s="5">
        <v>530000</v>
      </c>
      <c r="L112" s="2">
        <v>0.40947188273997986</v>
      </c>
    </row>
    <row r="113" spans="8:12" x14ac:dyDescent="0.25">
      <c r="H113" s="5">
        <v>535000</v>
      </c>
      <c r="I113" s="2">
        <v>0.41723364485981307</v>
      </c>
      <c r="K113" s="5">
        <v>535000</v>
      </c>
      <c r="L113" s="2">
        <v>0.40985065019100808</v>
      </c>
    </row>
    <row r="114" spans="8:12" x14ac:dyDescent="0.25">
      <c r="H114" s="5">
        <v>540000</v>
      </c>
      <c r="I114" s="2">
        <v>0.41735185185185186</v>
      </c>
      <c r="K114" s="5">
        <v>540000</v>
      </c>
      <c r="L114" s="2">
        <v>0.41022240342998023</v>
      </c>
    </row>
    <row r="115" spans="8:12" x14ac:dyDescent="0.25">
      <c r="H115" s="5">
        <v>545000</v>
      </c>
      <c r="I115" s="2">
        <v>0.4174678899082569</v>
      </c>
      <c r="K115" s="5">
        <v>545000</v>
      </c>
      <c r="L115" s="2">
        <v>0.41058733550860427</v>
      </c>
    </row>
    <row r="116" spans="8:12" x14ac:dyDescent="0.25">
      <c r="H116" s="5">
        <v>550000</v>
      </c>
      <c r="I116" s="2">
        <v>0.41758181818181817</v>
      </c>
      <c r="K116" s="5">
        <v>550000</v>
      </c>
      <c r="L116" s="2">
        <v>0.41094563245852606</v>
      </c>
    </row>
    <row r="117" spans="8:12" x14ac:dyDescent="0.25">
      <c r="H117" s="5">
        <v>555000</v>
      </c>
      <c r="I117" s="2">
        <v>0.41769369369369369</v>
      </c>
      <c r="K117" s="5">
        <v>555000</v>
      </c>
      <c r="L117" s="2">
        <v>0.41129747360754831</v>
      </c>
    </row>
    <row r="118" spans="8:12" x14ac:dyDescent="0.25">
      <c r="H118" s="5">
        <v>560000</v>
      </c>
      <c r="I118" s="2">
        <v>0.41780357142857144</v>
      </c>
      <c r="K118" s="5">
        <v>560000</v>
      </c>
      <c r="L118" s="2">
        <v>0.41164303187890955</v>
      </c>
    </row>
    <row r="119" spans="8:12" x14ac:dyDescent="0.25">
      <c r="H119" s="5">
        <v>565000</v>
      </c>
      <c r="I119" s="2">
        <v>0.41791150442477876</v>
      </c>
      <c r="K119" s="5">
        <v>565000</v>
      </c>
      <c r="L119" s="2">
        <v>0.41198247407467142</v>
      </c>
    </row>
    <row r="120" spans="8:12" x14ac:dyDescent="0.25">
      <c r="H120" s="5">
        <v>570000</v>
      </c>
      <c r="I120" s="2">
        <v>0.41801754385964912</v>
      </c>
      <c r="K120" s="5">
        <v>570000</v>
      </c>
      <c r="L120" s="2">
        <v>0.41231596114419183</v>
      </c>
    </row>
    <row r="121" spans="8:12" x14ac:dyDescent="0.25">
      <c r="H121" s="5">
        <v>575000</v>
      </c>
      <c r="I121" s="2">
        <v>0.41812173913043477</v>
      </c>
      <c r="K121" s="5">
        <v>575000</v>
      </c>
      <c r="L121" s="2">
        <v>0.41264364843859014</v>
      </c>
    </row>
    <row r="122" spans="8:12" x14ac:dyDescent="0.25">
      <c r="H122" s="5">
        <v>580000</v>
      </c>
      <c r="I122" s="2">
        <v>0.41822413793103447</v>
      </c>
      <c r="K122" s="5">
        <v>580000</v>
      </c>
      <c r="L122" s="2">
        <v>0.41296568595205058</v>
      </c>
    </row>
    <row r="123" spans="8:12" x14ac:dyDescent="0.25">
      <c r="H123" s="5">
        <v>585000</v>
      </c>
      <c r="I123" s="2">
        <v>0.41832478632478631</v>
      </c>
      <c r="K123" s="5">
        <v>585000</v>
      </c>
      <c r="L123" s="2">
        <v>0.41328221855075098</v>
      </c>
    </row>
    <row r="124" spans="8:12" x14ac:dyDescent="0.25">
      <c r="H124" s="5">
        <v>590000</v>
      </c>
      <c r="I124" s="2">
        <v>0.41842372881355933</v>
      </c>
      <c r="K124" s="5">
        <v>590000</v>
      </c>
      <c r="L124" s="2">
        <v>0.4135933861901514</v>
      </c>
    </row>
    <row r="125" spans="8:12" x14ac:dyDescent="0.25">
      <c r="H125" s="5">
        <v>595000</v>
      </c>
      <c r="I125" s="2">
        <v>0.41852100840336137</v>
      </c>
      <c r="K125" s="5">
        <v>595000</v>
      </c>
      <c r="L125" s="2">
        <v>0.41389932412132657</v>
      </c>
    </row>
    <row r="126" spans="8:12" x14ac:dyDescent="0.25">
      <c r="H126" s="5">
        <v>600000</v>
      </c>
      <c r="I126" s="2">
        <v>0.41861666666666669</v>
      </c>
      <c r="K126" s="5">
        <v>600000</v>
      </c>
      <c r="L126" s="2">
        <v>0.41420016308698226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Foglio1</vt:lpstr>
      <vt:lpstr>Foglio2</vt:lpstr>
      <vt:lpstr>Foglio3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Rossetti Giulio</dc:creator>
  <cp:lastModifiedBy>Rossetti Giulio</cp:lastModifiedBy>
  <dcterms:created xsi:type="dcterms:W3CDTF">2018-09-21T06:56:02Z</dcterms:created>
  <dcterms:modified xsi:type="dcterms:W3CDTF">2018-09-21T08:25:21Z</dcterms:modified>
</cp:coreProperties>
</file>