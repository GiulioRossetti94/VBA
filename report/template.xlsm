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/>
  <bookViews>
    <workbookView xWindow="630" yWindow="555" windowWidth="27495" windowHeight="11445" tabRatio="884" firstSheet="14" activeTab="28"/>
  </bookViews>
  <sheets>
    <sheet name="Benchmark price" sheetId="22" state="hidden" r:id="rId1"/>
    <sheet name="Benchmark returns" sheetId="23" state="hidden" r:id="rId2"/>
    <sheet name="Benchmark performance" sheetId="24" state="hidden" r:id="rId3"/>
    <sheet name="Equity price" sheetId="25" state="hidden" r:id="rId4"/>
    <sheet name="Equity returns" sheetId="26" state="hidden" r:id="rId5"/>
    <sheet name="Equity performance" sheetId="27" state="hidden" r:id="rId6"/>
    <sheet name="Bond Value" sheetId="28" state="hidden" r:id="rId7"/>
    <sheet name="Bond performance" sheetId="29" state="hidden" r:id="rId8"/>
    <sheet name="Pir performance" sheetId="30" state="hidden" r:id="rId9"/>
    <sheet name="Weights" sheetId="31" state="hidden" r:id="rId10"/>
    <sheet name="Macro" sheetId="36" state="hidden" r:id="rId11"/>
    <sheet name="First Page" sheetId="37" r:id="rId12"/>
    <sheet name="Summary" sheetId="34" state="hidden" r:id="rId13"/>
    <sheet name="Performance analysis" sheetId="18" r:id="rId14"/>
    <sheet name="PIR Chart" sheetId="21" r:id="rId15"/>
    <sheet name="Subs" sheetId="39" r:id="rId16"/>
    <sheet name="Var" sheetId="40" r:id="rId17"/>
    <sheet name="EQUITY Chart" sheetId="20" r:id="rId18"/>
    <sheet name="Equity port" sheetId="32" r:id="rId19"/>
    <sheet name="BOND Chart" sheetId="19" r:id="rId20"/>
    <sheet name="Bond port" sheetId="33" r:id="rId21"/>
    <sheet name="ZZZ_pic" sheetId="38" r:id="rId22"/>
    <sheet name="Perf Chart" sheetId="17" state="hidden" r:id="rId23"/>
    <sheet name="Equity_market" sheetId="41" state="hidden" r:id="rId24"/>
    <sheet name="Equity_industry" sheetId="42" state="hidden" r:id="rId25"/>
    <sheet name="Market_equity" sheetId="44" r:id="rId26"/>
    <sheet name="Market_equity_ctd" sheetId="45" r:id="rId27"/>
    <sheet name="Performance sheet" sheetId="35" state="hidden" r:id="rId28"/>
    <sheet name="Disclaimer" sheetId="46" r:id="rId29"/>
    <sheet name="TB" sheetId="47" state="hidden" r:id="rId30"/>
  </sheets>
  <functionGroups builtInGroupCount="17"/>
  <calcPr calcId="145621" calcMode="autoNoTable"/>
</workbook>
</file>

<file path=xl/calcChain.xml><?xml version="1.0" encoding="utf-8"?>
<calcChain xmlns="http://schemas.openxmlformats.org/spreadsheetml/2006/main">
  <c r="M34" i="45" l="1"/>
  <c r="L34" i="45"/>
  <c r="K34" i="45"/>
  <c r="M33" i="45"/>
  <c r="L33" i="45"/>
  <c r="K33" i="45"/>
  <c r="M32" i="45"/>
  <c r="L32" i="45"/>
  <c r="K32" i="45"/>
  <c r="M31" i="45"/>
  <c r="L31" i="45"/>
  <c r="K31" i="45"/>
  <c r="M30" i="45"/>
  <c r="L30" i="45"/>
  <c r="K30" i="45"/>
  <c r="M29" i="45"/>
  <c r="L29" i="45"/>
  <c r="K29" i="45"/>
  <c r="M28" i="45"/>
  <c r="L28" i="45"/>
  <c r="K28" i="45"/>
  <c r="M27" i="45"/>
  <c r="L27" i="45"/>
  <c r="K27" i="45"/>
  <c r="M26" i="45"/>
  <c r="L26" i="45"/>
  <c r="K26" i="45"/>
  <c r="M25" i="45"/>
  <c r="L25" i="45"/>
  <c r="H34" i="45"/>
  <c r="G34" i="45"/>
  <c r="F34" i="45"/>
  <c r="H33" i="45"/>
  <c r="G33" i="45"/>
  <c r="F33" i="45"/>
  <c r="H32" i="45"/>
  <c r="G32" i="45"/>
  <c r="F32" i="45"/>
  <c r="H31" i="45"/>
  <c r="G31" i="45"/>
  <c r="F31" i="45"/>
  <c r="H30" i="45"/>
  <c r="G30" i="45"/>
  <c r="F30" i="45"/>
  <c r="H29" i="45"/>
  <c r="G29" i="45"/>
  <c r="F29" i="45"/>
  <c r="H28" i="45"/>
  <c r="G28" i="45"/>
  <c r="F28" i="45"/>
  <c r="H27" i="45"/>
  <c r="G27" i="45"/>
  <c r="F27" i="45"/>
  <c r="H26" i="45"/>
  <c r="G26" i="45"/>
  <c r="F26" i="45"/>
  <c r="H25" i="45"/>
  <c r="G25" i="45"/>
  <c r="K25" i="45"/>
  <c r="F25" i="45"/>
  <c r="M66" i="44"/>
  <c r="L66" i="44"/>
  <c r="K66" i="44"/>
  <c r="M65" i="44"/>
  <c r="L65" i="44"/>
  <c r="K65" i="44"/>
  <c r="M64" i="44"/>
  <c r="L64" i="44"/>
  <c r="K64" i="44"/>
  <c r="M63" i="44"/>
  <c r="L63" i="44"/>
  <c r="K63" i="44"/>
  <c r="M62" i="44"/>
  <c r="L62" i="44"/>
  <c r="K62" i="44"/>
  <c r="M61" i="44"/>
  <c r="L61" i="44"/>
  <c r="K61" i="44"/>
  <c r="M60" i="44"/>
  <c r="L60" i="44"/>
  <c r="K60" i="44"/>
  <c r="M59" i="44"/>
  <c r="L59" i="44"/>
  <c r="K59" i="44"/>
  <c r="M58" i="44"/>
  <c r="L58" i="44"/>
  <c r="K58" i="44"/>
  <c r="M57" i="44"/>
  <c r="L57" i="44"/>
  <c r="K57" i="44"/>
  <c r="H66" i="44"/>
  <c r="G66" i="44"/>
  <c r="F66" i="44"/>
  <c r="H65" i="44"/>
  <c r="G65" i="44"/>
  <c r="F65" i="44"/>
  <c r="H64" i="44"/>
  <c r="G64" i="44"/>
  <c r="F64" i="44"/>
  <c r="H63" i="44"/>
  <c r="G63" i="44"/>
  <c r="F63" i="44"/>
  <c r="H62" i="44"/>
  <c r="G62" i="44"/>
  <c r="F62" i="44"/>
  <c r="H61" i="44"/>
  <c r="G61" i="44"/>
  <c r="F61" i="44"/>
  <c r="H60" i="44"/>
  <c r="G60" i="44"/>
  <c r="F60" i="44"/>
  <c r="H59" i="44"/>
  <c r="G59" i="44"/>
  <c r="F59" i="44"/>
  <c r="H58" i="44"/>
  <c r="G58" i="44"/>
  <c r="F58" i="44"/>
  <c r="H57" i="44"/>
  <c r="G57" i="44"/>
  <c r="F57" i="44"/>
  <c r="M34" i="44"/>
  <c r="L34" i="44"/>
  <c r="K34" i="44"/>
  <c r="M33" i="44"/>
  <c r="L33" i="44"/>
  <c r="K33" i="44"/>
  <c r="M32" i="44"/>
  <c r="L32" i="44"/>
  <c r="K32" i="44"/>
  <c r="M31" i="44"/>
  <c r="L31" i="44"/>
  <c r="K31" i="44"/>
  <c r="M30" i="44"/>
  <c r="L30" i="44"/>
  <c r="K30" i="44"/>
  <c r="M29" i="44"/>
  <c r="L29" i="44"/>
  <c r="K29" i="44"/>
  <c r="M28" i="44"/>
  <c r="L28" i="44"/>
  <c r="K28" i="44"/>
  <c r="M27" i="44"/>
  <c r="L27" i="44"/>
  <c r="K27" i="44"/>
  <c r="M26" i="44"/>
  <c r="L26" i="44"/>
  <c r="K26" i="44"/>
  <c r="M25" i="44"/>
  <c r="L25" i="44"/>
  <c r="K25" i="44"/>
  <c r="H34" i="44"/>
  <c r="G34" i="44"/>
  <c r="F34" i="44"/>
  <c r="H33" i="44"/>
  <c r="G33" i="44"/>
  <c r="F33" i="44"/>
  <c r="H32" i="44"/>
  <c r="G32" i="44"/>
  <c r="F32" i="44"/>
  <c r="H31" i="44"/>
  <c r="G31" i="44"/>
  <c r="F31" i="44"/>
  <c r="H30" i="44"/>
  <c r="G30" i="44"/>
  <c r="F30" i="44"/>
  <c r="H29" i="44"/>
  <c r="G29" i="44"/>
  <c r="F29" i="44"/>
  <c r="H28" i="44"/>
  <c r="G28" i="44"/>
  <c r="F28" i="44"/>
  <c r="H27" i="44"/>
  <c r="G27" i="44"/>
  <c r="F27" i="44"/>
  <c r="H26" i="44"/>
  <c r="G26" i="44"/>
  <c r="F26" i="44"/>
  <c r="H25" i="44"/>
  <c r="G25" i="44"/>
  <c r="F25" i="44"/>
  <c r="T44" i="45" l="1"/>
  <c r="T45" i="45"/>
  <c r="T46" i="45"/>
  <c r="T47" i="45"/>
  <c r="T48" i="45"/>
  <c r="T49" i="45"/>
  <c r="T50" i="45"/>
  <c r="T51" i="45"/>
  <c r="T52" i="45"/>
  <c r="W44" i="45" l="1"/>
  <c r="W45" i="45"/>
  <c r="W46" i="45"/>
  <c r="W47" i="45"/>
  <c r="W48" i="45"/>
  <c r="W49" i="45"/>
  <c r="W50" i="45"/>
  <c r="W51" i="45"/>
  <c r="W52" i="45"/>
  <c r="W43" i="45"/>
  <c r="V44" i="45"/>
  <c r="V45" i="45"/>
  <c r="V46" i="45"/>
  <c r="V47" i="45"/>
  <c r="V48" i="45"/>
  <c r="V49" i="45"/>
  <c r="V50" i="45"/>
  <c r="V51" i="45"/>
  <c r="V52" i="45"/>
  <c r="V43" i="45"/>
  <c r="T43" i="45"/>
  <c r="S44" i="45"/>
  <c r="S45" i="45"/>
  <c r="S46" i="45"/>
  <c r="S47" i="45"/>
  <c r="S48" i="45"/>
  <c r="S49" i="45"/>
  <c r="S50" i="45"/>
  <c r="S51" i="45"/>
  <c r="S52" i="45"/>
  <c r="S43" i="45"/>
  <c r="R44" i="45"/>
  <c r="R45" i="45"/>
  <c r="R46" i="45"/>
  <c r="R47" i="45"/>
  <c r="R48" i="45"/>
  <c r="R49" i="45"/>
  <c r="R50" i="45"/>
  <c r="R51" i="45"/>
  <c r="R52" i="45"/>
  <c r="R43" i="45"/>
  <c r="N44" i="45"/>
  <c r="N45" i="45"/>
  <c r="N46" i="45"/>
  <c r="N47" i="45"/>
  <c r="N48" i="45"/>
  <c r="N49" i="45"/>
  <c r="N50" i="45"/>
  <c r="N51" i="45"/>
  <c r="N52" i="45"/>
  <c r="N43" i="45"/>
  <c r="M44" i="45"/>
  <c r="M45" i="45"/>
  <c r="M46" i="45"/>
  <c r="M47" i="45"/>
  <c r="M48" i="45"/>
  <c r="M49" i="45"/>
  <c r="M50" i="45"/>
  <c r="M51" i="45"/>
  <c r="M52" i="45"/>
  <c r="M43" i="45"/>
  <c r="K44" i="45"/>
  <c r="K45" i="45"/>
  <c r="K46" i="45"/>
  <c r="K47" i="45"/>
  <c r="K48" i="45"/>
  <c r="K49" i="45"/>
  <c r="K50" i="45"/>
  <c r="K51" i="45"/>
  <c r="K52" i="45"/>
  <c r="K43" i="45"/>
  <c r="I44" i="45"/>
  <c r="I45" i="45"/>
  <c r="I46" i="45"/>
  <c r="I47" i="45"/>
  <c r="I48" i="45"/>
  <c r="I49" i="45"/>
  <c r="I50" i="45"/>
  <c r="I51" i="45"/>
  <c r="I52" i="45"/>
  <c r="I43" i="45"/>
  <c r="H44" i="45"/>
  <c r="H45" i="45"/>
  <c r="H46" i="45"/>
  <c r="H47" i="45"/>
  <c r="H48" i="45"/>
  <c r="H49" i="45"/>
  <c r="H50" i="45"/>
  <c r="H51" i="45"/>
  <c r="H52" i="45"/>
  <c r="H43" i="45"/>
  <c r="E43" i="45"/>
  <c r="E44" i="45"/>
  <c r="E45" i="45"/>
  <c r="E46" i="45"/>
  <c r="E47" i="45"/>
  <c r="E48" i="45"/>
  <c r="E49" i="45"/>
  <c r="E50" i="45"/>
  <c r="E51" i="45"/>
  <c r="E52" i="45"/>
  <c r="E42" i="45"/>
  <c r="Q52" i="45" l="1"/>
  <c r="Q51" i="45"/>
  <c r="Q47" i="45"/>
  <c r="Q48" i="45"/>
  <c r="Q44" i="45"/>
  <c r="N54" i="45"/>
  <c r="K54" i="45"/>
  <c r="S54" i="45"/>
  <c r="V54" i="45"/>
  <c r="Q50" i="45"/>
  <c r="Q46" i="45"/>
  <c r="T54" i="45"/>
  <c r="I54" i="45"/>
  <c r="Q49" i="45"/>
  <c r="Q45" i="45"/>
  <c r="M54" i="45"/>
  <c r="R54" i="45"/>
  <c r="Q43" i="45"/>
  <c r="W34" i="45"/>
  <c r="V34" i="45"/>
  <c r="U34" i="45"/>
  <c r="R34" i="45"/>
  <c r="Q34" i="45"/>
  <c r="P34" i="45"/>
  <c r="W33" i="45"/>
  <c r="V33" i="45"/>
  <c r="U33" i="45"/>
  <c r="R33" i="45"/>
  <c r="Q33" i="45"/>
  <c r="P33" i="45"/>
  <c r="W32" i="45"/>
  <c r="V32" i="45"/>
  <c r="U32" i="45"/>
  <c r="R32" i="45"/>
  <c r="Q32" i="45"/>
  <c r="P32" i="45"/>
  <c r="W31" i="45"/>
  <c r="V31" i="45"/>
  <c r="U31" i="45"/>
  <c r="R31" i="45"/>
  <c r="Q31" i="45"/>
  <c r="P31" i="45"/>
  <c r="W30" i="45"/>
  <c r="V30" i="45"/>
  <c r="U30" i="45"/>
  <c r="R30" i="45"/>
  <c r="Q30" i="45"/>
  <c r="P30" i="45"/>
  <c r="W29" i="45"/>
  <c r="V29" i="45"/>
  <c r="U29" i="45"/>
  <c r="R29" i="45"/>
  <c r="Q29" i="45"/>
  <c r="P29" i="45"/>
  <c r="W28" i="45"/>
  <c r="V28" i="45"/>
  <c r="U28" i="45"/>
  <c r="R28" i="45"/>
  <c r="Q28" i="45"/>
  <c r="P28" i="45"/>
  <c r="W27" i="45"/>
  <c r="V27" i="45"/>
  <c r="U27" i="45"/>
  <c r="R27" i="45"/>
  <c r="Q27" i="45"/>
  <c r="P27" i="45"/>
  <c r="W26" i="45"/>
  <c r="V26" i="45"/>
  <c r="U26" i="45"/>
  <c r="R26" i="45"/>
  <c r="Q26" i="45"/>
  <c r="P26" i="45"/>
  <c r="W25" i="45"/>
  <c r="V25" i="45"/>
  <c r="U25" i="45"/>
  <c r="R25" i="45"/>
  <c r="Q25" i="45"/>
  <c r="P25" i="45"/>
  <c r="W19" i="45"/>
  <c r="V19" i="45"/>
  <c r="U19" i="45"/>
  <c r="R19" i="45"/>
  <c r="Q19" i="45"/>
  <c r="P19" i="45"/>
  <c r="M19" i="45"/>
  <c r="L19" i="45"/>
  <c r="K19" i="45"/>
  <c r="H19" i="45"/>
  <c r="G19" i="45"/>
  <c r="F19" i="45"/>
  <c r="W18" i="45"/>
  <c r="V18" i="45"/>
  <c r="U18" i="45"/>
  <c r="R18" i="45"/>
  <c r="Q18" i="45"/>
  <c r="P18" i="45"/>
  <c r="M18" i="45"/>
  <c r="L18" i="45"/>
  <c r="K18" i="45"/>
  <c r="H18" i="45"/>
  <c r="G18" i="45"/>
  <c r="F18" i="45"/>
  <c r="W17" i="45"/>
  <c r="V17" i="45"/>
  <c r="U17" i="45"/>
  <c r="R17" i="45"/>
  <c r="Q17" i="45"/>
  <c r="P17" i="45"/>
  <c r="M17" i="45"/>
  <c r="L17" i="45"/>
  <c r="K17" i="45"/>
  <c r="H17" i="45"/>
  <c r="G17" i="45"/>
  <c r="F17" i="45"/>
  <c r="W16" i="45"/>
  <c r="V16" i="45"/>
  <c r="U16" i="45"/>
  <c r="R16" i="45"/>
  <c r="Q16" i="45"/>
  <c r="P16" i="45"/>
  <c r="M16" i="45"/>
  <c r="L16" i="45"/>
  <c r="K16" i="45"/>
  <c r="H16" i="45"/>
  <c r="G16" i="45"/>
  <c r="F16" i="45"/>
  <c r="W15" i="45"/>
  <c r="V15" i="45"/>
  <c r="U15" i="45"/>
  <c r="R15" i="45"/>
  <c r="Q15" i="45"/>
  <c r="P15" i="45"/>
  <c r="M15" i="45"/>
  <c r="L15" i="45"/>
  <c r="K15" i="45"/>
  <c r="H15" i="45"/>
  <c r="G15" i="45"/>
  <c r="F15" i="45"/>
  <c r="W14" i="45"/>
  <c r="V14" i="45"/>
  <c r="U14" i="45"/>
  <c r="R14" i="45"/>
  <c r="Q14" i="45"/>
  <c r="P14" i="45"/>
  <c r="M14" i="45"/>
  <c r="L14" i="45"/>
  <c r="K14" i="45"/>
  <c r="H14" i="45"/>
  <c r="G14" i="45"/>
  <c r="F14" i="45"/>
  <c r="W13" i="45"/>
  <c r="V13" i="45"/>
  <c r="U13" i="45"/>
  <c r="R13" i="45"/>
  <c r="Q13" i="45"/>
  <c r="P13" i="45"/>
  <c r="M13" i="45"/>
  <c r="L13" i="45"/>
  <c r="K13" i="45"/>
  <c r="H13" i="45"/>
  <c r="G13" i="45"/>
  <c r="F13" i="45"/>
  <c r="W12" i="45"/>
  <c r="V12" i="45"/>
  <c r="U12" i="45"/>
  <c r="R12" i="45"/>
  <c r="Q12" i="45"/>
  <c r="P12" i="45"/>
  <c r="M12" i="45"/>
  <c r="L12" i="45"/>
  <c r="K12" i="45"/>
  <c r="H12" i="45"/>
  <c r="G12" i="45"/>
  <c r="F12" i="45"/>
  <c r="W11" i="45"/>
  <c r="V11" i="45"/>
  <c r="U11" i="45"/>
  <c r="R11" i="45"/>
  <c r="Q11" i="45"/>
  <c r="P11" i="45"/>
  <c r="M11" i="45"/>
  <c r="L11" i="45"/>
  <c r="K11" i="45"/>
  <c r="H11" i="45"/>
  <c r="G11" i="45"/>
  <c r="F11" i="45"/>
  <c r="W10" i="45"/>
  <c r="V10" i="45"/>
  <c r="U10" i="45"/>
  <c r="R10" i="45"/>
  <c r="Q10" i="45"/>
  <c r="P10" i="45"/>
  <c r="M10" i="45"/>
  <c r="L10" i="45"/>
  <c r="K10" i="45"/>
  <c r="H10" i="45"/>
  <c r="G10" i="45"/>
  <c r="F10" i="45"/>
  <c r="H54" i="45" l="1"/>
  <c r="Q54" i="45"/>
  <c r="W66" i="44"/>
  <c r="V66" i="44"/>
  <c r="U66" i="44"/>
  <c r="R66" i="44"/>
  <c r="Q66" i="44"/>
  <c r="P66" i="44"/>
  <c r="W65" i="44"/>
  <c r="V65" i="44"/>
  <c r="U65" i="44"/>
  <c r="R65" i="44"/>
  <c r="Q65" i="44"/>
  <c r="P65" i="44"/>
  <c r="W64" i="44"/>
  <c r="V64" i="44"/>
  <c r="U64" i="44"/>
  <c r="R64" i="44"/>
  <c r="Q64" i="44"/>
  <c r="P64" i="44"/>
  <c r="W63" i="44"/>
  <c r="V63" i="44"/>
  <c r="U63" i="44"/>
  <c r="R63" i="44"/>
  <c r="Q63" i="44"/>
  <c r="P63" i="44"/>
  <c r="W62" i="44"/>
  <c r="V62" i="44"/>
  <c r="U62" i="44"/>
  <c r="R62" i="44"/>
  <c r="Q62" i="44"/>
  <c r="P62" i="44"/>
  <c r="W61" i="44"/>
  <c r="V61" i="44"/>
  <c r="U61" i="44"/>
  <c r="R61" i="44"/>
  <c r="Q61" i="44"/>
  <c r="P61" i="44"/>
  <c r="W60" i="44"/>
  <c r="V60" i="44"/>
  <c r="U60" i="44"/>
  <c r="R60" i="44"/>
  <c r="Q60" i="44"/>
  <c r="P60" i="44"/>
  <c r="W59" i="44"/>
  <c r="V59" i="44"/>
  <c r="U59" i="44"/>
  <c r="R59" i="44"/>
  <c r="Q59" i="44"/>
  <c r="P59" i="44"/>
  <c r="W58" i="44"/>
  <c r="V58" i="44"/>
  <c r="U58" i="44"/>
  <c r="R58" i="44"/>
  <c r="Q58" i="44"/>
  <c r="P58" i="44"/>
  <c r="W57" i="44"/>
  <c r="V57" i="44"/>
  <c r="U57" i="44"/>
  <c r="R57" i="44"/>
  <c r="Q57" i="44"/>
  <c r="P57" i="44"/>
  <c r="W51" i="44"/>
  <c r="V51" i="44"/>
  <c r="U51" i="44"/>
  <c r="R51" i="44"/>
  <c r="Q51" i="44"/>
  <c r="P51" i="44"/>
  <c r="M51" i="44"/>
  <c r="L51" i="44"/>
  <c r="K51" i="44"/>
  <c r="H51" i="44"/>
  <c r="G51" i="44"/>
  <c r="F51" i="44"/>
  <c r="W50" i="44"/>
  <c r="V50" i="44"/>
  <c r="U50" i="44"/>
  <c r="R50" i="44"/>
  <c r="Q50" i="44"/>
  <c r="P50" i="44"/>
  <c r="M50" i="44"/>
  <c r="L50" i="44"/>
  <c r="K50" i="44"/>
  <c r="H50" i="44"/>
  <c r="G50" i="44"/>
  <c r="F50" i="44"/>
  <c r="W49" i="44"/>
  <c r="V49" i="44"/>
  <c r="U49" i="44"/>
  <c r="R49" i="44"/>
  <c r="Q49" i="44"/>
  <c r="P49" i="44"/>
  <c r="M49" i="44"/>
  <c r="L49" i="44"/>
  <c r="K49" i="44"/>
  <c r="H49" i="44"/>
  <c r="G49" i="44"/>
  <c r="F49" i="44"/>
  <c r="W48" i="44"/>
  <c r="V48" i="44"/>
  <c r="U48" i="44"/>
  <c r="R48" i="44"/>
  <c r="Q48" i="44"/>
  <c r="P48" i="44"/>
  <c r="M48" i="44"/>
  <c r="L48" i="44"/>
  <c r="K48" i="44"/>
  <c r="H48" i="44"/>
  <c r="G48" i="44"/>
  <c r="F48" i="44"/>
  <c r="W47" i="44"/>
  <c r="V47" i="44"/>
  <c r="U47" i="44"/>
  <c r="R47" i="44"/>
  <c r="Q47" i="44"/>
  <c r="P47" i="44"/>
  <c r="M47" i="44"/>
  <c r="L47" i="44"/>
  <c r="K47" i="44"/>
  <c r="H47" i="44"/>
  <c r="G47" i="44"/>
  <c r="F47" i="44"/>
  <c r="W46" i="44"/>
  <c r="V46" i="44"/>
  <c r="U46" i="44"/>
  <c r="R46" i="44"/>
  <c r="Q46" i="44"/>
  <c r="P46" i="44"/>
  <c r="M46" i="44"/>
  <c r="L46" i="44"/>
  <c r="K46" i="44"/>
  <c r="H46" i="44"/>
  <c r="G46" i="44"/>
  <c r="F46" i="44"/>
  <c r="W45" i="44"/>
  <c r="V45" i="44"/>
  <c r="U45" i="44"/>
  <c r="R45" i="44"/>
  <c r="Q45" i="44"/>
  <c r="P45" i="44"/>
  <c r="M45" i="44"/>
  <c r="L45" i="44"/>
  <c r="K45" i="44"/>
  <c r="H45" i="44"/>
  <c r="G45" i="44"/>
  <c r="F45" i="44"/>
  <c r="W44" i="44"/>
  <c r="V44" i="44"/>
  <c r="U44" i="44"/>
  <c r="R44" i="44"/>
  <c r="Q44" i="44"/>
  <c r="P44" i="44"/>
  <c r="M44" i="44"/>
  <c r="L44" i="44"/>
  <c r="K44" i="44"/>
  <c r="H44" i="44"/>
  <c r="G44" i="44"/>
  <c r="F44" i="44"/>
  <c r="W43" i="44"/>
  <c r="V43" i="44"/>
  <c r="U43" i="44"/>
  <c r="R43" i="44"/>
  <c r="Q43" i="44"/>
  <c r="P43" i="44"/>
  <c r="M43" i="44"/>
  <c r="L43" i="44"/>
  <c r="K43" i="44"/>
  <c r="H43" i="44"/>
  <c r="G43" i="44"/>
  <c r="F43" i="44"/>
  <c r="W42" i="44"/>
  <c r="V42" i="44"/>
  <c r="U42" i="44"/>
  <c r="R42" i="44"/>
  <c r="Q42" i="44"/>
  <c r="P42" i="44"/>
  <c r="M42" i="44"/>
  <c r="L42" i="44"/>
  <c r="K42" i="44"/>
  <c r="H42" i="44"/>
  <c r="G42" i="44"/>
  <c r="F42" i="44"/>
  <c r="W34" i="44"/>
  <c r="V34" i="44"/>
  <c r="U34" i="44"/>
  <c r="R34" i="44"/>
  <c r="Q34" i="44"/>
  <c r="P34" i="44"/>
  <c r="W33" i="44"/>
  <c r="V33" i="44"/>
  <c r="U33" i="44"/>
  <c r="R33" i="44"/>
  <c r="Q33" i="44"/>
  <c r="P33" i="44"/>
  <c r="W32" i="44"/>
  <c r="V32" i="44"/>
  <c r="U32" i="44"/>
  <c r="R32" i="44"/>
  <c r="Q32" i="44"/>
  <c r="P32" i="44"/>
  <c r="W31" i="44"/>
  <c r="V31" i="44"/>
  <c r="U31" i="44"/>
  <c r="R31" i="44"/>
  <c r="Q31" i="44"/>
  <c r="P31" i="44"/>
  <c r="W30" i="44"/>
  <c r="V30" i="44"/>
  <c r="U30" i="44"/>
  <c r="R30" i="44"/>
  <c r="Q30" i="44"/>
  <c r="P30" i="44"/>
  <c r="W29" i="44"/>
  <c r="V29" i="44"/>
  <c r="U29" i="44"/>
  <c r="R29" i="44"/>
  <c r="Q29" i="44"/>
  <c r="P29" i="44"/>
  <c r="W28" i="44"/>
  <c r="V28" i="44"/>
  <c r="U28" i="44"/>
  <c r="R28" i="44"/>
  <c r="Q28" i="44"/>
  <c r="P28" i="44"/>
  <c r="W27" i="44"/>
  <c r="V27" i="44"/>
  <c r="U27" i="44"/>
  <c r="R27" i="44"/>
  <c r="Q27" i="44"/>
  <c r="P27" i="44"/>
  <c r="W26" i="44"/>
  <c r="V26" i="44"/>
  <c r="U26" i="44"/>
  <c r="R26" i="44"/>
  <c r="Q26" i="44"/>
  <c r="P26" i="44"/>
  <c r="W25" i="44"/>
  <c r="V25" i="44"/>
  <c r="U25" i="44"/>
  <c r="R25" i="44"/>
  <c r="Q25" i="44"/>
  <c r="P25" i="44"/>
  <c r="W19" i="44"/>
  <c r="V19" i="44"/>
  <c r="U19" i="44"/>
  <c r="R19" i="44"/>
  <c r="Q19" i="44"/>
  <c r="P19" i="44"/>
  <c r="M19" i="44"/>
  <c r="L19" i="44"/>
  <c r="K19" i="44"/>
  <c r="H19" i="44"/>
  <c r="G19" i="44"/>
  <c r="F19" i="44"/>
  <c r="W18" i="44"/>
  <c r="V18" i="44"/>
  <c r="U18" i="44"/>
  <c r="R18" i="44"/>
  <c r="Q18" i="44"/>
  <c r="P18" i="44"/>
  <c r="M18" i="44"/>
  <c r="L18" i="44"/>
  <c r="K18" i="44"/>
  <c r="H18" i="44"/>
  <c r="G18" i="44"/>
  <c r="F18" i="44"/>
  <c r="W17" i="44"/>
  <c r="V17" i="44"/>
  <c r="U17" i="44"/>
  <c r="R17" i="44"/>
  <c r="Q17" i="44"/>
  <c r="P17" i="44"/>
  <c r="M17" i="44"/>
  <c r="L17" i="44"/>
  <c r="K17" i="44"/>
  <c r="H17" i="44"/>
  <c r="G17" i="44"/>
  <c r="F17" i="44"/>
  <c r="W16" i="44"/>
  <c r="V16" i="44"/>
  <c r="U16" i="44"/>
  <c r="R16" i="44"/>
  <c r="Q16" i="44"/>
  <c r="P16" i="44"/>
  <c r="M16" i="44"/>
  <c r="L16" i="44"/>
  <c r="K16" i="44"/>
  <c r="H16" i="44"/>
  <c r="G16" i="44"/>
  <c r="F16" i="44"/>
  <c r="W15" i="44"/>
  <c r="V15" i="44"/>
  <c r="U15" i="44"/>
  <c r="R15" i="44"/>
  <c r="Q15" i="44"/>
  <c r="P15" i="44"/>
  <c r="M15" i="44"/>
  <c r="L15" i="44"/>
  <c r="K15" i="44"/>
  <c r="H15" i="44"/>
  <c r="G15" i="44"/>
  <c r="F15" i="44"/>
  <c r="W14" i="44"/>
  <c r="V14" i="44"/>
  <c r="U14" i="44"/>
  <c r="R14" i="44"/>
  <c r="Q14" i="44"/>
  <c r="P14" i="44"/>
  <c r="M14" i="44"/>
  <c r="L14" i="44"/>
  <c r="K14" i="44"/>
  <c r="H14" i="44"/>
  <c r="G14" i="44"/>
  <c r="F14" i="44"/>
  <c r="W13" i="44"/>
  <c r="V13" i="44"/>
  <c r="U13" i="44"/>
  <c r="R13" i="44"/>
  <c r="Q13" i="44"/>
  <c r="P13" i="44"/>
  <c r="M13" i="44"/>
  <c r="L13" i="44"/>
  <c r="K13" i="44"/>
  <c r="H13" i="44"/>
  <c r="G13" i="44"/>
  <c r="F13" i="44"/>
  <c r="W12" i="44"/>
  <c r="V12" i="44"/>
  <c r="U12" i="44"/>
  <c r="R12" i="44"/>
  <c r="Q12" i="44"/>
  <c r="P12" i="44"/>
  <c r="M12" i="44"/>
  <c r="L12" i="44"/>
  <c r="K12" i="44"/>
  <c r="H12" i="44"/>
  <c r="G12" i="44"/>
  <c r="F12" i="44"/>
  <c r="W11" i="44"/>
  <c r="V11" i="44"/>
  <c r="U11" i="44"/>
  <c r="R11" i="44"/>
  <c r="Q11" i="44"/>
  <c r="P11" i="44"/>
  <c r="M11" i="44"/>
  <c r="L11" i="44"/>
  <c r="K11" i="44"/>
  <c r="H11" i="44"/>
  <c r="G11" i="44"/>
  <c r="F11" i="44"/>
  <c r="W10" i="44"/>
  <c r="V10" i="44"/>
  <c r="U10" i="44"/>
  <c r="R10" i="44"/>
  <c r="Q10" i="44"/>
  <c r="P10" i="44"/>
  <c r="M10" i="44"/>
  <c r="L10" i="44"/>
  <c r="K10" i="44"/>
  <c r="H10" i="44"/>
  <c r="F10" i="44"/>
  <c r="G10" i="44"/>
  <c r="J6" i="39" l="1" a="1"/>
  <c r="J6" i="39" s="1"/>
  <c r="J7" i="39" a="1"/>
  <c r="J7" i="39" s="1"/>
  <c r="J5" i="39" a="1"/>
  <c r="J5" i="39" s="1"/>
  <c r="E11" i="19" l="1"/>
  <c r="E12" i="19"/>
  <c r="E10" i="19"/>
  <c r="E12" i="20"/>
  <c r="E11" i="20"/>
  <c r="E10" i="20"/>
  <c r="I27" i="37"/>
  <c r="J27" i="37"/>
  <c r="K27" i="37"/>
  <c r="G27" i="37" s="1"/>
  <c r="I28" i="37"/>
  <c r="G28" i="37" s="1"/>
  <c r="J28" i="37"/>
  <c r="K28" i="37"/>
  <c r="K26" i="37"/>
  <c r="J26" i="37"/>
  <c r="I26" i="37"/>
  <c r="G26" i="37" l="1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N45" i="18"/>
  <c r="Z44" i="18"/>
  <c r="Y44" i="18"/>
  <c r="X44" i="18"/>
  <c r="W44" i="18"/>
  <c r="V44" i="18"/>
  <c r="U44" i="18"/>
  <c r="T44" i="18"/>
  <c r="S44" i="18"/>
  <c r="R44" i="18"/>
  <c r="Q44" i="18"/>
  <c r="P44" i="18"/>
  <c r="O44" i="18"/>
  <c r="N44" i="18"/>
  <c r="Z40" i="18" l="1"/>
  <c r="Y40" i="18"/>
  <c r="X40" i="18"/>
  <c r="W40" i="18"/>
  <c r="V40" i="18"/>
  <c r="U40" i="18"/>
  <c r="T40" i="18"/>
  <c r="S40" i="18"/>
  <c r="R40" i="18"/>
  <c r="Q40" i="18"/>
  <c r="P40" i="18"/>
  <c r="O40" i="18"/>
  <c r="N40" i="18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8" i="18"/>
  <c r="M7" i="18"/>
  <c r="M6" i="18"/>
</calcChain>
</file>

<file path=xl/sharedStrings.xml><?xml version="1.0" encoding="utf-8"?>
<sst xmlns="http://schemas.openxmlformats.org/spreadsheetml/2006/main" count="453" uniqueCount="186">
  <si>
    <t>EQUITY PORTFOLIO</t>
  </si>
  <si>
    <t>ASSET CLASS</t>
  </si>
  <si>
    <t>TICKER</t>
  </si>
  <si>
    <t>ISIN</t>
  </si>
  <si>
    <t>SECURITY NAME</t>
  </si>
  <si>
    <t>ISSUER</t>
  </si>
  <si>
    <t>INDUSTRY SECTOR</t>
  </si>
  <si>
    <t>INDUSTRY GROUP</t>
  </si>
  <si>
    <t>RANKING</t>
  </si>
  <si>
    <t>MKT VALUE</t>
  </si>
  <si>
    <t>Esp. Tot. Singolo Emittente</t>
  </si>
  <si>
    <t>Perf YTD</t>
  </si>
  <si>
    <t>Perf MTD</t>
  </si>
  <si>
    <t>Perf Weekly</t>
  </si>
  <si>
    <t>Last Price</t>
  </si>
  <si>
    <t>LISTED</t>
  </si>
  <si>
    <t>INDEX</t>
  </si>
  <si>
    <t>CAP (Mln)</t>
  </si>
  <si>
    <t>DVD YIELD</t>
  </si>
  <si>
    <t>TARGET PRICE</t>
  </si>
  <si>
    <t>Country</t>
  </si>
  <si>
    <t>EQUITY</t>
  </si>
  <si>
    <t>BOND PORTFOLIO</t>
  </si>
  <si>
    <t>CPN TYPE</t>
  </si>
  <si>
    <t>CPN</t>
  </si>
  <si>
    <t>MATURITY (Yrs)</t>
  </si>
  <si>
    <t>DURATION</t>
  </si>
  <si>
    <t>FONDO</t>
  </si>
  <si>
    <t>BOND</t>
  </si>
  <si>
    <t>Fund</t>
  </si>
  <si>
    <t>Equity</t>
  </si>
  <si>
    <t>Bond</t>
  </si>
  <si>
    <t>Annualized return</t>
  </si>
  <si>
    <t>Annualized std</t>
  </si>
  <si>
    <t>SR</t>
  </si>
  <si>
    <t>Beta (FTSEMIB)</t>
  </si>
  <si>
    <t>Best Month</t>
  </si>
  <si>
    <t>Worst Month</t>
  </si>
  <si>
    <t>FININT ECONOMIA REALE ITALIA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</si>
  <si>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</si>
  <si>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</si>
  <si>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</si>
  <si>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</si>
  <si>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</si>
  <si>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</si>
  <si>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</si>
  <si>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</si>
  <si>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</si>
  <si>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</si>
  <si>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</si>
  <si>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</si>
  <si>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</si>
  <si>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YTD</t>
  </si>
  <si>
    <t>EQUITY CHARACTERISTICS</t>
  </si>
  <si>
    <t>EQUITY INFO</t>
  </si>
  <si>
    <t>BOND CHARACTERISTICS</t>
  </si>
  <si>
    <t>BOND INFO</t>
  </si>
  <si>
    <t>SR (1m)</t>
  </si>
  <si>
    <t>SR (3m)</t>
  </si>
  <si>
    <t>SR (6m)</t>
  </si>
  <si>
    <t>SR (1yr)</t>
  </si>
  <si>
    <t>Cumulative Return</t>
  </si>
  <si>
    <t>Sharpe Ratio</t>
  </si>
  <si>
    <t>Volatility*</t>
  </si>
  <si>
    <t>Average Return*</t>
  </si>
  <si>
    <t>*Annualized</t>
  </si>
  <si>
    <t>Return (1m)</t>
  </si>
  <si>
    <t>Return (3m)</t>
  </si>
  <si>
    <t>Return (6m)</t>
  </si>
  <si>
    <t>Return (1yr)</t>
  </si>
  <si>
    <t>Volatility (1m)</t>
  </si>
  <si>
    <t>Volatility (3m)</t>
  </si>
  <si>
    <t>Volatility (6m)</t>
  </si>
  <si>
    <t>Volatility (1yr)</t>
  </si>
  <si>
    <t>PORTOFOLIO CHARACTERISTICS</t>
  </si>
  <si>
    <t>Number of securities</t>
  </si>
  <si>
    <t>Return weekly</t>
  </si>
  <si>
    <t>Return MTD</t>
  </si>
  <si>
    <t>Return YTD</t>
  </si>
  <si>
    <t>Volatility weekly</t>
  </si>
  <si>
    <t>Volatility YTD</t>
  </si>
  <si>
    <t>Volatility MTD</t>
  </si>
  <si>
    <t>% of positive Months</t>
  </si>
  <si>
    <t>Top Allocation</t>
  </si>
  <si>
    <t>Best perf MTD</t>
  </si>
  <si>
    <t>Best perf YTD</t>
  </si>
  <si>
    <t>Worst perf weekly</t>
  </si>
  <si>
    <t>Worst perf MTD</t>
  </si>
  <si>
    <t>Worst perf YTD</t>
  </si>
  <si>
    <t>Best perf Weekly</t>
  </si>
  <si>
    <t>€</t>
  </si>
  <si>
    <t>Mkt Value Portfolio</t>
  </si>
  <si>
    <t>Max Drawdown</t>
  </si>
  <si>
    <t>P/B</t>
  </si>
  <si>
    <t>Debt/Equity</t>
  </si>
  <si>
    <t>Median Market Cap</t>
  </si>
  <si>
    <t>Average Market Cap</t>
  </si>
  <si>
    <t>PERFORMANCE ATTRIBUTION</t>
  </si>
  <si>
    <t>FUND CHARACTERISTICS</t>
  </si>
  <si>
    <t>ALLOCATION</t>
  </si>
  <si>
    <t>Cash</t>
  </si>
  <si>
    <t>NAV</t>
  </si>
  <si>
    <t>NAV/Share Weekly</t>
  </si>
  <si>
    <t>NAV/Share MTD</t>
  </si>
  <si>
    <t>NAV/Share YTD</t>
  </si>
  <si>
    <t>NAV Weekly</t>
  </si>
  <si>
    <t>NAV MTD</t>
  </si>
  <si>
    <t>NAV YTD</t>
  </si>
  <si>
    <t>Class A Share</t>
  </si>
  <si>
    <t>Bloomberg</t>
  </si>
  <si>
    <t>Class PIR Share</t>
  </si>
  <si>
    <t>IT0005261125</t>
  </si>
  <si>
    <t>FIERITA IM</t>
  </si>
  <si>
    <t>IT0005273575</t>
  </si>
  <si>
    <t>FIERPIR IM</t>
  </si>
  <si>
    <t>NAV/Share</t>
  </si>
  <si>
    <t xml:space="preserve">Report </t>
  </si>
  <si>
    <t>Avg Duration</t>
  </si>
  <si>
    <t>Avg Maturity</t>
  </si>
  <si>
    <t>ROLLING CORRELATION</t>
  </si>
  <si>
    <t>ROLLING BETA</t>
  </si>
  <si>
    <t>FUND ALLOCATION OVER TIME</t>
  </si>
  <si>
    <t>LAST YEAR COMPARISON</t>
  </si>
  <si>
    <t>f</t>
  </si>
  <si>
    <t>Date Weekly</t>
  </si>
  <si>
    <t>Date MTD</t>
  </si>
  <si>
    <t>Date YTD</t>
  </si>
  <si>
    <t>L</t>
  </si>
  <si>
    <t>l</t>
  </si>
  <si>
    <t>SEED MONEY</t>
  </si>
  <si>
    <t>MONTHLY NET SUBSCRIPTIONS</t>
  </si>
  <si>
    <t>CUMULATIVE SUBSCRIPTIONS</t>
  </si>
  <si>
    <t>05-Jul-17</t>
  </si>
  <si>
    <t>16-Apr-18</t>
  </si>
  <si>
    <t>24-Apr-18</t>
  </si>
  <si>
    <t>03-May-18</t>
  </si>
  <si>
    <t xml:space="preserve">CUM. NET SUBSCRIPTIONS </t>
  </si>
  <si>
    <t>OVERALL</t>
  </si>
  <si>
    <t>k</t>
  </si>
  <si>
    <t>RECURSIVE VaR -PARAMETRIC</t>
  </si>
  <si>
    <t>Step-Ahead (Days)</t>
  </si>
  <si>
    <t>C.I</t>
  </si>
  <si>
    <t>h.1</t>
  </si>
  <si>
    <t>h.2</t>
  </si>
  <si>
    <t>h.3</t>
  </si>
  <si>
    <t>h.4</t>
  </si>
  <si>
    <t>h.5</t>
  </si>
  <si>
    <t>RECURSIVE VaR -FILTERED HISTORICAL</t>
  </si>
  <si>
    <t>Limits (% of Total Assets)</t>
  </si>
  <si>
    <t>FTSE MIB</t>
  </si>
  <si>
    <t>FTSE MID CAP</t>
  </si>
  <si>
    <t>BEST</t>
  </si>
  <si>
    <t>PERF. YTD</t>
  </si>
  <si>
    <t>DESCRIZIONE</t>
  </si>
  <si>
    <t>WORST</t>
  </si>
  <si>
    <t>FTSE SMALL CAP</t>
  </si>
  <si>
    <t>FTSE AIM ITALIA</t>
  </si>
  <si>
    <t>MTD</t>
  </si>
  <si>
    <t>WEEKLY</t>
  </si>
  <si>
    <t>EQUITY MARKET SUMMARY (by INDEX)</t>
  </si>
  <si>
    <t>EQUITY MARKET SUMMARY (by INDEX) - cont'd</t>
  </si>
  <si>
    <t>EQUITY MARKET SUMMARY (by INDUSTRY)</t>
  </si>
  <si>
    <t>N. AIM</t>
  </si>
  <si>
    <t>N. FTSE MIB</t>
  </si>
  <si>
    <t>N. MEDIUM CAP</t>
  </si>
  <si>
    <t>N. SMALL CAP</t>
  </si>
  <si>
    <t>TOT</t>
  </si>
  <si>
    <t>N. TOT</t>
  </si>
  <si>
    <t>W. AVG YTD</t>
  </si>
  <si>
    <t>W. AVG MTD</t>
  </si>
  <si>
    <t>BETA VS FTSEMIB</t>
  </si>
  <si>
    <t>-</t>
  </si>
  <si>
    <t>PERF. MTD</t>
  </si>
  <si>
    <t>PERF. 5D</t>
  </si>
  <si>
    <t>HISTORICAL PERFORMANCE*</t>
  </si>
  <si>
    <t>HISTORICAL PERFORMANCE BY ASSET CLASS*</t>
  </si>
  <si>
    <t>Rolling Analysis*</t>
  </si>
  <si>
    <t>CURRENT PERFORMANCE*</t>
  </si>
  <si>
    <t>PERFORMANCE SINCE INCEPTION*</t>
  </si>
  <si>
    <t>SEASONAL ANALYSIS*</t>
  </si>
  <si>
    <t>NET SUBSCRIPTIONS **</t>
  </si>
  <si>
    <r>
      <t xml:space="preserve">VaR Estimation - PARAMETRIC </t>
    </r>
    <r>
      <rPr>
        <b/>
        <vertAlign val="superscript"/>
        <sz val="11"/>
        <color rgb="FFFFFFFF"/>
        <rFont val="Calibri"/>
        <family val="2"/>
      </rPr>
      <t>§</t>
    </r>
  </si>
  <si>
    <r>
      <t xml:space="preserve">VaR Estimation - FILTERED HISTORICAL </t>
    </r>
    <r>
      <rPr>
        <b/>
        <vertAlign val="superscript"/>
        <sz val="11"/>
        <color rgb="FFFFFFFF"/>
        <rFont val="Calibri"/>
        <family val="2"/>
      </rPr>
      <t>§</t>
    </r>
  </si>
  <si>
    <r>
      <t xml:space="preserve">VaR Estimation - Monte Carlo sim=10000 </t>
    </r>
    <r>
      <rPr>
        <b/>
        <vertAlign val="superscript"/>
        <sz val="11"/>
        <color rgb="FFFFFFFF"/>
        <rFont val="Calibri"/>
        <family val="2"/>
      </rPr>
      <t>§</t>
    </r>
  </si>
  <si>
    <t>† Performance in this page does not include dividends, interests,..etc</t>
  </si>
  <si>
    <t>ANNEX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</si>
</sst>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,000.00"/>
    <numFmt numFmtId="165" formatCode="0.000"/>
    <numFmt numFmtId="166" formatCode="[$-410]d\ mmmm\ yyyy;@"/>
    <numFmt numFmtId="167" formatCode="0.0000%"/>
    <numFmt numFmtId="168" formatCode="0.000%"/>
    <numFmt numFmtId="169" formatCode="0.000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28"/>
      <color rgb="FFFFFFFF"/>
      <name val="Calibri"/>
      <family val="2"/>
    </font>
    <font>
      <b/>
      <sz val="22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vertAlign val="superscript"/>
      <sz val="11"/>
      <color rgb="FFFFFFFF"/>
      <name val="Calibri"/>
      <family val="2"/>
    </font>
    <font>
      <sz val="8"/>
      <color theme="1"/>
      <name val="Calibri"/>
      <family val="2"/>
    </font>
    <font>
      <sz val="11"/>
      <color rgb="FF000000"/>
      <name val="Times New Roman"/>
      <family val="1"/>
    </font>
    <font>
      <sz val="14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theme="1"/>
      <name val="+mj-lt"/>
    </font>
    <font>
      <b/>
      <sz val="10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9ABCE6"/>
        <bgColor indexed="64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1">
      <alignment horizontal="center"/>
    </xf>
    <xf numFmtId="0" fontId="1" fillId="0" borderId="0"/>
  </cellStyleXfs>
  <cellXfs count="138">
    <xf numFmtId="0" fontId="0" fillId="0" borderId="0" xfId="0"/>
    <xf numFmtId="10" fontId="0" fillId="0" borderId="2" xfId="0" applyNumberFormat="1" applyBorder="1" applyAlignment="1">
      <alignment horizontal="center"/>
    </xf>
    <xf numFmtId="0" fontId="2" fillId="0" borderId="0" xfId="0" applyFont="1" applyAlignment="1">
      <alignment vertical="top"/>
    </xf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1" fontId="0" fillId="0" borderId="0" xfId="0" applyNumberFormat="1"/>
    <xf numFmtId="0" fontId="0" fillId="0" borderId="0" xfId="0"/>
    <xf numFmtId="0" fontId="2" fillId="0" borderId="0" xfId="0" applyFont="1" applyBorder="1" applyAlignment="1">
      <alignment vertical="top"/>
    </xf>
    <xf numFmtId="164" fontId="1" fillId="0" borderId="0" xfId="2" applyNumberFormat="1" applyBorder="1"/>
    <xf numFmtId="0" fontId="0" fillId="0" borderId="0" xfId="0" applyBorder="1"/>
    <xf numFmtId="0" fontId="3" fillId="3" borderId="0" xfId="0" applyFont="1" applyFill="1" applyBorder="1" applyAlignment="1">
      <alignment horizontal="center" vertical="center" wrapText="1"/>
    </xf>
    <xf numFmtId="164" fontId="3" fillId="3" borderId="0" xfId="2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64" fontId="0" fillId="0" borderId="0" xfId="0" applyNumberFormat="1" applyBorder="1"/>
    <xf numFmtId="10" fontId="0" fillId="0" borderId="0" xfId="0" applyNumberFormat="1" applyBorder="1" applyAlignment="1">
      <alignment horizontal="right"/>
    </xf>
    <xf numFmtId="0" fontId="7" fillId="3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2" fillId="0" borderId="0" xfId="0" applyFon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4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0" applyNumberFormat="1" applyBorder="1"/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vertical="center"/>
    </xf>
    <xf numFmtId="10" fontId="1" fillId="0" borderId="0" xfId="2" applyNumberFormat="1" applyAlignment="1">
      <alignment vertical="center"/>
    </xf>
    <xf numFmtId="10" fontId="1" fillId="0" borderId="0" xfId="2" applyNumberFormat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10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10" fontId="2" fillId="0" borderId="0" xfId="2" applyNumberFormat="1" applyFont="1" applyAlignment="1">
      <alignment vertical="center"/>
    </xf>
    <xf numFmtId="10" fontId="9" fillId="0" borderId="0" xfId="2" applyNumberFormat="1" applyFont="1" applyFill="1" applyAlignment="1">
      <alignment horizontal="left" vertical="top"/>
    </xf>
    <xf numFmtId="0" fontId="2" fillId="0" borderId="0" xfId="0" applyFont="1"/>
    <xf numFmtId="0" fontId="2" fillId="0" borderId="0" xfId="0" applyFont="1" applyAlignment="1">
      <alignment horizontal="left" indent="5"/>
    </xf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0" fontId="0" fillId="0" borderId="0" xfId="0" applyNumberFormat="1" applyBorder="1"/>
    <xf numFmtId="0" fontId="0" fillId="0" borderId="0" xfId="0"/>
    <xf numFmtId="0" fontId="7" fillId="2" borderId="0" xfId="0" applyFont="1" applyFill="1" applyBorder="1" applyAlignment="1">
      <alignment horizontal="center" vertical="center" wrapText="1"/>
    </xf>
    <xf numFmtId="164" fontId="7" fillId="2" borderId="0" xfId="0" applyNumberFormat="1" applyFont="1" applyFill="1" applyBorder="1" applyAlignment="1">
      <alignment horizontal="center" vertical="center" wrapText="1"/>
    </xf>
    <xf numFmtId="10" fontId="7" fillId="2" borderId="0" xfId="0" applyNumberFormat="1" applyFont="1" applyFill="1" applyBorder="1" applyAlignment="1">
      <alignment horizontal="center" vertical="center" wrapText="1"/>
    </xf>
    <xf numFmtId="2" fontId="7" fillId="2" borderId="0" xfId="0" applyNumberFormat="1" applyFont="1" applyFill="1" applyBorder="1" applyAlignment="1">
      <alignment horizontal="center" vertical="center" wrapText="1"/>
    </xf>
    <xf numFmtId="1" fontId="7" fillId="2" borderId="0" xfId="0" applyNumberFormat="1" applyFont="1" applyFill="1" applyBorder="1" applyAlignment="1">
      <alignment horizontal="center" vertical="center" wrapText="1"/>
    </xf>
    <xf numFmtId="10" fontId="1" fillId="0" borderId="0" xfId="2" applyNumberFormat="1" applyAlignment="1">
      <alignment horizontal="right"/>
    </xf>
    <xf numFmtId="4" fontId="0" fillId="0" borderId="0" xfId="0" applyNumberFormat="1"/>
    <xf numFmtId="0" fontId="10" fillId="0" borderId="0" xfId="0" applyFont="1"/>
    <xf numFmtId="0" fontId="0" fillId="0" borderId="0" xfId="0"/>
    <xf numFmtId="10" fontId="0" fillId="0" borderId="0" xfId="0" applyNumberFormat="1" applyFon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11" fillId="0" borderId="0" xfId="0" applyFont="1"/>
    <xf numFmtId="0" fontId="14" fillId="0" borderId="0" xfId="0" applyFont="1"/>
    <xf numFmtId="14" fontId="14" fillId="0" borderId="0" xfId="0" applyNumberFormat="1" applyFont="1"/>
    <xf numFmtId="0" fontId="0" fillId="0" borderId="0" xfId="0"/>
    <xf numFmtId="0" fontId="0" fillId="0" borderId="0" xfId="0"/>
    <xf numFmtId="0" fontId="0" fillId="0" borderId="0" xfId="0"/>
    <xf numFmtId="0" fontId="14" fillId="0" borderId="0" xfId="0" applyFont="1"/>
    <xf numFmtId="10" fontId="1" fillId="0" borderId="0" xfId="2" applyNumberFormat="1"/>
    <xf numFmtId="3" fontId="0" fillId="0" borderId="0" xfId="0" applyNumberFormat="1"/>
    <xf numFmtId="17" fontId="0" fillId="0" borderId="0" xfId="0" applyNumberFormat="1"/>
    <xf numFmtId="3" fontId="0" fillId="0" borderId="0" xfId="0" quotePrefix="1" applyNumberFormat="1"/>
    <xf numFmtId="15" fontId="0" fillId="0" borderId="0" xfId="0" quotePrefix="1" applyNumberFormat="1"/>
    <xf numFmtId="0" fontId="0" fillId="0" borderId="0" xfId="0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9" fontId="2" fillId="0" borderId="0" xfId="0" applyNumberFormat="1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9" fontId="0" fillId="0" borderId="0" xfId="0" applyNumberFormat="1" applyBorder="1"/>
    <xf numFmtId="0" fontId="14" fillId="0" borderId="0" xfId="0" applyFont="1" applyBorder="1"/>
    <xf numFmtId="0" fontId="8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8" fontId="0" fillId="0" borderId="0" xfId="0" applyNumberFormat="1"/>
    <xf numFmtId="168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168" fontId="0" fillId="0" borderId="0" xfId="0" applyNumberFormat="1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20" fillId="0" borderId="0" xfId="0" applyFont="1"/>
    <xf numFmtId="0" fontId="22" fillId="0" borderId="0" xfId="0" applyFont="1"/>
    <xf numFmtId="0" fontId="23" fillId="0" borderId="0" xfId="0" applyFont="1" applyAlignment="1">
      <alignment horizontal="left" vertical="center" indent="4"/>
    </xf>
    <xf numFmtId="0" fontId="21" fillId="0" borderId="0" xfId="0" applyFont="1"/>
    <xf numFmtId="0" fontId="24" fillId="0" borderId="0" xfId="0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6" fontId="13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164" fontId="1" fillId="0" borderId="0" xfId="2" applyNumberFormat="1" applyBorder="1"/>
    <xf numFmtId="10" fontId="0" fillId="0" borderId="0" xfId="0" applyNumberFormat="1" applyBorder="1"/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0" fillId="3" borderId="0" xfId="0" applyFill="1"/>
    <xf numFmtId="0" fontId="4" fillId="3" borderId="0" xfId="0" applyFont="1" applyFill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Border="1" applyAlignment="1">
      <alignment horizontal="center"/>
    </xf>
    <xf numFmtId="0" fontId="19" fillId="0" borderId="0" xfId="0" applyFont="1" applyAlignment="1">
      <alignment horizontal="left" vertical="top"/>
    </xf>
    <xf numFmtId="0" fontId="3" fillId="2" borderId="0" xfId="0" applyFont="1" applyFill="1" applyAlignment="1">
      <alignment horizontal="center" vertical="center" wrapText="1"/>
    </xf>
    <xf numFmtId="0" fontId="15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 textRotation="90"/>
    </xf>
    <xf numFmtId="0" fontId="17" fillId="3" borderId="0" xfId="0" applyFont="1" applyFill="1" applyAlignment="1">
      <alignment horizontal="center" vertical="center"/>
    </xf>
    <xf numFmtId="0" fontId="2" fillId="0" borderId="5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168" fontId="0" fillId="0" borderId="0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3">
    <cellStyle name="Normale" xfId="0" builtinId="0"/>
    <cellStyle name="Pandas" xfId="1"/>
    <cellStyle name="Percentuale" xfId="2" builtinId="5"/>
  </cellStyles>
  <dxfs count="114"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9C0006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002060"/>
      </font>
      <fill>
        <patternFill>
          <bgColor rgb="FFFFFFCC"/>
        </patternFill>
      </fill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</border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002060"/>
      </font>
      <fill>
        <patternFill>
          <bgColor rgb="FFFFFFCC"/>
        </patternFill>
      </fill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</border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  <color rgb="FF0020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3</xdr:row>
          <xdr:rowOff>9525</xdr:rowOff>
        </xdr:from>
        <xdr:to>
          <xdr:col>4</xdr:col>
          <xdr:colOff>600075</xdr:colOff>
          <xdr:row>5</xdr:row>
          <xdr:rowOff>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6</xdr:row>
          <xdr:rowOff>9525</xdr:rowOff>
        </xdr:from>
        <xdr:to>
          <xdr:col>4</xdr:col>
          <xdr:colOff>600075</xdr:colOff>
          <xdr:row>8</xdr:row>
          <xdr:rowOff>0</xdr:rowOff>
        </xdr:to>
        <xdr:sp macro="" textlink="">
          <xdr:nvSpPr>
            <xdr:cNvPr id="20484" name="CommandButton2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16</xdr:col>
      <xdr:colOff>542925</xdr:colOff>
      <xdr:row>7</xdr:row>
      <xdr:rowOff>171450</xdr:rowOff>
    </xdr:to>
    <xdr:pic>
      <xdr:nvPicPr>
        <xdr:cNvPr id="3" name="INTESTAZION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9791700" cy="1504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76200</xdr:rowOff>
    </xdr:from>
    <xdr:to>
      <xdr:col>20</xdr:col>
      <xdr:colOff>28575</xdr:colOff>
      <xdr:row>37</xdr:row>
      <xdr:rowOff>104775</xdr:rowOff>
    </xdr:to>
    <xdr:sp macro="" textlink="">
      <xdr:nvSpPr>
        <xdr:cNvPr id="22529" name="AutoShape 1"/>
        <xdr:cNvSpPr>
          <a:spLocks noChangeAspect="1" noChangeArrowheads="1"/>
        </xdr:cNvSpPr>
      </xdr:nvSpPr>
      <xdr:spPr bwMode="auto">
        <a:xfrm>
          <a:off x="1219200" y="1028700"/>
          <a:ext cx="11001375" cy="617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23</xdr:col>
      <xdr:colOff>476250</xdr:colOff>
      <xdr:row>71</xdr:row>
      <xdr:rowOff>19051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sellaDiTesto 1"/>
            <xdr:cNvSpPr txBox="1"/>
          </xdr:nvSpPr>
          <xdr:spPr>
            <a:xfrm>
              <a:off x="1828800" y="762000"/>
              <a:ext cx="12668250" cy="1278255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100">
                  <a:effectLst/>
                  <a:latin typeface="Times New Roman"/>
                  <a:ea typeface="Calibri"/>
                  <a:cs typeface="Times New Roman"/>
                </a:rPr>
                <a:t>     </a:t>
              </a:r>
              <a:r>
                <a:rPr lang="en-GB" sz="1100" baseline="30000">
                  <a:effectLst/>
                  <a:latin typeface="Times New Roman"/>
                  <a:ea typeface="Calibri"/>
                  <a:cs typeface="Times New Roman"/>
                </a:rPr>
                <a:t>§</a:t>
              </a:r>
              <a:r>
                <a:rPr lang="en-GB" sz="1400">
                  <a:effectLst/>
                  <a:latin typeface="Times New Roman"/>
                  <a:ea typeface="Calibri"/>
                  <a:cs typeface="Times New Roman"/>
                </a:rPr>
                <a:t>VaR – PARAMETRIC ESTIMATION:</a:t>
              </a:r>
              <a:endParaRPr lang="en-GB" sz="1100">
                <a:effectLst/>
                <a:latin typeface="+mn-lt"/>
                <a:ea typeface="Calibri"/>
                <a:cs typeface="Times New Roman"/>
              </a:endParaRPr>
            </a:p>
            <a:p>
              <a:pPr indent="4572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Model description: </a:t>
              </a:r>
              <a:r>
                <a:rPr lang="en-GB" sz="1100" b="1">
                  <a:effectLst/>
                  <a:latin typeface="Times New Roman"/>
                  <a:ea typeface="Calibri"/>
                  <a:cs typeface="Times New Roman"/>
                </a:rPr>
                <a:t>GARCH(1,1)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effectLst/>
                            <a:latin typeface="Cambria Math"/>
                            <a:ea typeface="Calibri"/>
                            <a:cs typeface="Times New Roman"/>
                          </a:rPr>
                        </m:ctrlPr>
                      </m:sSubPr>
                      <m:e>
                        <m:r>
                          <a:rPr lang="en-GB" sz="1100" i="1">
                            <a:effectLst/>
                            <a:latin typeface="Cambria Math"/>
                            <a:ea typeface="Calibri"/>
                            <a:cs typeface="Times New Roman"/>
                          </a:rPr>
                          <m:t>𝑟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Calibri"/>
                            <a:cs typeface="Times New Roman"/>
                          </a:rPr>
                          <m:t>𝑡</m:t>
                        </m:r>
                      </m:sub>
                    </m:sSub>
                    <m:r>
                      <a:rPr lang="en-GB" sz="1100" i="1">
                        <a:effectLst/>
                        <a:latin typeface="Cambria Math"/>
                        <a:ea typeface="Calibri"/>
                        <a:cs typeface="Times New Roman"/>
                      </a:rPr>
                      <m:t>=</m:t>
                    </m:r>
                    <m:r>
                      <a:rPr lang="en-GB" sz="1100" i="1">
                        <a:effectLst/>
                        <a:latin typeface="Cambria Math"/>
                        <a:ea typeface="Calibri"/>
                        <a:cs typeface="Times New Roman"/>
                      </a:rPr>
                      <m:t>𝜇</m:t>
                    </m:r>
                    <m:r>
                      <a:rPr lang="en-GB" sz="1100" i="1">
                        <a:effectLst/>
                        <a:latin typeface="Cambria Math"/>
                        <a:ea typeface="Calibri"/>
                        <a:cs typeface="Times New Roman"/>
                      </a:rPr>
                      <m:t>+ </m:t>
                    </m:r>
                    <m:sSub>
                      <m:sSubPr>
                        <m:ctrlPr>
                          <a:rPr lang="en-GB" sz="1100" i="1">
                            <a:effectLst/>
                            <a:latin typeface="Cambria Math"/>
                            <a:ea typeface="Calibri"/>
                            <a:cs typeface="Times New Roman"/>
                          </a:rPr>
                        </m:ctrlPr>
                      </m:sSubPr>
                      <m:e>
                        <m:r>
                          <a:rPr lang="en-GB" sz="1100" i="1">
                            <a:effectLst/>
                            <a:latin typeface="Cambria Math"/>
                            <a:ea typeface="Calibri"/>
                            <a:cs typeface="Times New Roman"/>
                          </a:rPr>
                          <m:t>𝜀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Calibri"/>
                            <a:cs typeface="Times New Roman"/>
                          </a:rPr>
                          <m:t>𝑡</m:t>
                        </m:r>
                      </m:sub>
                    </m:sSub>
                  </m:oMath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</m:ctrlPr>
                      </m:sSubPr>
                      <m:e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𝜀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𝑡</m:t>
                        </m:r>
                      </m:sub>
                    </m:sSub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=</m:t>
                    </m:r>
                    <m:sSub>
                      <m:sSubPr>
                        <m:ctrlP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</m:ctrlPr>
                      </m:sSubPr>
                      <m:e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𝜎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𝑡</m:t>
                        </m:r>
                      </m:sub>
                    </m:sSub>
                    <m:sSub>
                      <m:sSubPr>
                        <m:ctrlP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</m:ctrlPr>
                      </m:sSubPr>
                      <m:e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𝑒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𝑡</m:t>
                        </m:r>
                      </m:sub>
                    </m:sSub>
                  </m:oMath>
                  <m:oMath xmlns:m="http://schemas.openxmlformats.org/officeDocument/2006/math">
                    <m:sSubSup>
                      <m:sSubSupPr>
                        <m:ctrlP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</m:ctrlPr>
                      </m:sSubSupPr>
                      <m:e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𝜎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𝑡</m:t>
                        </m:r>
                      </m:sub>
                      <m:sup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2</m:t>
                        </m:r>
                      </m:sup>
                    </m:sSubSup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=</m:t>
                    </m:r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𝜔</m:t>
                    </m:r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+</m:t>
                    </m:r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𝛼</m:t>
                    </m:r>
                    <m:sSubSup>
                      <m:sSubSupPr>
                        <m:ctrlP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</m:ctrlPr>
                      </m:sSubSupPr>
                      <m:e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𝜀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𝑡</m:t>
                        </m:r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−1</m:t>
                        </m:r>
                      </m:sub>
                      <m:sup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2</m:t>
                        </m:r>
                      </m:sup>
                    </m:sSubSup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+</m:t>
                    </m:r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𝛽</m:t>
                    </m:r>
                    <m:sSubSup>
                      <m:sSubSupPr>
                        <m:ctrlP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</m:ctrlPr>
                      </m:sSubSupPr>
                      <m:e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𝜎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𝑡</m:t>
                        </m:r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−1</m:t>
                        </m:r>
                      </m:sub>
                      <m:sup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2</m:t>
                        </m:r>
                      </m:sup>
                    </m:sSubSup>
                  </m:oMath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</m:ctrlPr>
                      </m:sSubPr>
                      <m:e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𝜀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Times New Roman"/>
                            <a:cs typeface="Times New Roman"/>
                          </a:rPr>
                          <m:t>𝑡</m:t>
                        </m:r>
                      </m:sub>
                    </m:sSub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~</m:t>
                    </m:r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𝑁</m:t>
                    </m:r>
                    <m:r>
                      <a:rPr lang="en-GB" sz="1100" i="1">
                        <a:effectLst/>
                        <a:latin typeface="Cambria Math"/>
                        <a:ea typeface="Times New Roman"/>
                        <a:cs typeface="Times New Roman"/>
                      </a:rPr>
                      <m:t>(0,1) </m:t>
                    </m:r>
                  </m:oMath>
                </m:oMathPara>
              </a14:m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100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Firstly, returns up to 30-04-2018 are used to estimate the parameters (</a:t>
              </a:r>
              <a14:m>
                <m:oMath xmlns:m="http://schemas.openxmlformats.org/officeDocument/2006/math"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𝜔</m:t>
                  </m:r>
                </m:oMath>
              </a14:m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,</a:t>
              </a:r>
              <a14:m>
                <m:oMath xmlns:m="http://schemas.openxmlformats.org/officeDocument/2006/math"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 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𝛼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,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𝛽</m:t>
                  </m:r>
                </m:oMath>
              </a14:m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), then recursively the sample period is updated with most recent observations and the model is re-estimated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0" indent="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    </a:t>
              </a:r>
              <a:r>
                <a:rPr lang="en-GB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§</a:t>
              </a: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VaR – FILTERED HISTORICAL:</a:t>
              </a:r>
            </a:p>
            <a:p>
              <a:pPr marL="2286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VaR is computed using the empirical distribution of standardized residual, hence no assumption on the returns’ distribution is made.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0" indent="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    </a:t>
              </a:r>
              <a:r>
                <a:rPr lang="en-GB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§</a:t>
              </a: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VaR – MONTE CARLO:</a:t>
              </a:r>
            </a:p>
            <a:p>
              <a:pPr indent="4572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Model description: </a:t>
              </a:r>
              <a:r>
                <a:rPr lang="en-GB" sz="1100" b="1">
                  <a:effectLst/>
                  <a:latin typeface="Times New Roman"/>
                  <a:ea typeface="Calibri"/>
                  <a:cs typeface="Times New Roman"/>
                </a:rPr>
                <a:t>GARCH(1,1)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indent="4572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 b="1">
                  <a:effectLst/>
                  <a:latin typeface="Times New Roman"/>
                  <a:ea typeface="Calibri"/>
                  <a:cs typeface="Times New Roman"/>
                </a:rPr>
                <a:t>Steps: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Generate a set of random numbers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</m:ctrlPr>
                    </m:sSubPr>
                    <m:e>
                      <m:acc>
                        <m:accPr>
                          <m:chr m:val="̃"/>
                          <m:ctrlP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</m:ctrlPr>
                        </m:accPr>
                        <m:e>
                          <m: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  <m:t>𝜀</m:t>
                          </m:r>
                        </m:e>
                      </m:acc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𝑖</m:t>
                      </m:r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,1</m:t>
                      </m:r>
                    </m:sub>
                  </m:sSub>
                </m:oMath>
              </a14:m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,</a:t>
              </a:r>
              <a14:m>
                <m:oMath xmlns:m="http://schemas.openxmlformats.org/officeDocument/2006/math"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𝑖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=1…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𝑛𝑜𝑏𝑠</m:t>
                  </m:r>
                </m:oMath>
              </a14:m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 (nobs=10.000) from </a:t>
              </a:r>
              <a14:m>
                <m:oMath xmlns:m="http://schemas.openxmlformats.org/officeDocument/2006/math"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𝑁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(0,1)</m:t>
                  </m:r>
                </m:oMath>
              </a14:m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Compute simulated returns: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</m:ctrlPr>
                    </m:sSubPr>
                    <m:e>
                      <m:acc>
                        <m:accPr>
                          <m:chr m:val="̃"/>
                          <m:ctrlP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</m:ctrlPr>
                        </m:accPr>
                        <m:e>
                          <m: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  <m:t>𝑟</m:t>
                          </m:r>
                        </m:e>
                      </m:acc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𝑖</m:t>
                      </m:r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,1</m:t>
                      </m:r>
                    </m:sub>
                  </m:sSub>
                </m:oMath>
              </a14:m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=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</m:ctrlPr>
                    </m:sSubPr>
                    <m:e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𝜎</m:t>
                      </m:r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𝑡</m:t>
                      </m:r>
                    </m:sub>
                  </m:sSub>
                  <m:sSub>
                    <m:sSubPr>
                      <m:ctrlP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</m:ctrlPr>
                    </m:sSubPr>
                    <m:e>
                      <m:acc>
                        <m:accPr>
                          <m:chr m:val="̃"/>
                          <m:ctrlP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</m:ctrlPr>
                        </m:accPr>
                        <m:e>
                          <m: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  <m:t>𝜀</m:t>
                          </m:r>
                        </m:e>
                      </m:acc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𝑖</m:t>
                      </m:r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,1</m:t>
                      </m:r>
                    </m:sub>
                  </m:sSub>
                </m:oMath>
              </a14:m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Update variance: </a:t>
              </a:r>
              <a14:m>
                <m:oMath xmlns:m="http://schemas.openxmlformats.org/officeDocument/2006/math">
                  <m:sSubSup>
                    <m:sSubSupPr>
                      <m:ctrlP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</m:ctrlPr>
                    </m:sSubSupPr>
                    <m:e>
                      <m:acc>
                        <m:accPr>
                          <m:chr m:val="̃"/>
                          <m:ctrlPr>
                            <a:rPr lang="en-GB" sz="1100" i="1">
                              <a:effectLst/>
                              <a:latin typeface="Cambria Math"/>
                              <a:ea typeface="Times New Roman"/>
                              <a:cs typeface="Times New Roman"/>
                            </a:rPr>
                          </m:ctrlPr>
                        </m:accPr>
                        <m:e>
                          <m:r>
                            <a:rPr lang="en-GB" sz="1100" i="1">
                              <a:effectLst/>
                              <a:latin typeface="Cambria Math"/>
                              <a:ea typeface="Times New Roman"/>
                              <a:cs typeface="Times New Roman"/>
                            </a:rPr>
                            <m:t>𝜎</m:t>
                          </m:r>
                        </m:e>
                      </m:acc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𝑖</m:t>
                      </m:r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,</m:t>
                      </m:r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𝑡</m:t>
                      </m:r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+2</m:t>
                      </m:r>
                    </m:sub>
                    <m:sup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2</m:t>
                      </m:r>
                    </m:sup>
                  </m:sSubSup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=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𝜔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+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𝛼</m:t>
                  </m:r>
                  <m:sSub>
                    <m:sSubPr>
                      <m:ctrlP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</m:ctrlPr>
                    </m:sSubPr>
                    <m:e>
                      <m:sSup>
                        <m:sSupPr>
                          <m:ctrlP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</m:ctrlPr>
                        </m:sSupPr>
                        <m:e>
                          <m:acc>
                            <m:accPr>
                              <m:chr m:val="̃"/>
                              <m:ctrlPr>
                                <a:rPr lang="en-GB" sz="1100" i="1">
                                  <a:effectLst/>
                                  <a:latin typeface="Cambria Math"/>
                                  <a:ea typeface="Calibri"/>
                                  <a:cs typeface="Times New Roman"/>
                                </a:rPr>
                              </m:ctrlPr>
                            </m:accPr>
                            <m:e>
                              <m:r>
                                <a:rPr lang="en-GB" sz="1100" i="1">
                                  <a:effectLst/>
                                  <a:latin typeface="Cambria Math"/>
                                  <a:ea typeface="Calibri"/>
                                  <a:cs typeface="Times New Roman"/>
                                </a:rPr>
                                <m:t>𝑟</m:t>
                              </m:r>
                            </m:e>
                          </m:acc>
                        </m:e>
                        <m:sup>
                          <m: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  <m:t>2</m:t>
                          </m:r>
                        </m:sup>
                      </m:sSup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𝑖</m:t>
                      </m:r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,</m:t>
                      </m:r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𝑡</m:t>
                      </m:r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+1</m:t>
                      </m:r>
                    </m:sub>
                  </m:sSub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+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𝛽</m:t>
                  </m:r>
                  <m:sSubSup>
                    <m:sSubSupPr>
                      <m:ctrlP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</m:ctrlPr>
                    </m:sSubSupPr>
                    <m:e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𝜎</m:t>
                      </m:r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𝑡</m:t>
                      </m:r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+1</m:t>
                      </m:r>
                    </m:sub>
                    <m:sup>
                      <m:r>
                        <a:rPr lang="en-GB" sz="1100" i="1">
                          <a:effectLst/>
                          <a:latin typeface="Cambria Math"/>
                          <a:ea typeface="Times New Roman"/>
                          <a:cs typeface="Times New Roman"/>
                        </a:rPr>
                        <m:t>2</m:t>
                      </m:r>
                    </m:sup>
                  </m:sSubSup>
                </m:oMath>
              </a14:m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Draw a new set of random numbers distributed as </a:t>
              </a:r>
              <a14:m>
                <m:oMath xmlns:m="http://schemas.openxmlformats.org/officeDocument/2006/math"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𝑁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(0,1)</m:t>
                  </m:r>
                </m:oMath>
              </a14:m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</m:ctrlPr>
                    </m:sSubPr>
                    <m:e>
                      <m:acc>
                        <m:accPr>
                          <m:chr m:val="̃"/>
                          <m:ctrlP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</m:ctrlPr>
                        </m:accPr>
                        <m:e>
                          <m:r>
                            <a:rPr lang="en-GB" sz="1100" i="1">
                              <a:effectLst/>
                              <a:latin typeface="Cambria Math"/>
                              <a:ea typeface="Calibri"/>
                              <a:cs typeface="Times New Roman"/>
                            </a:rPr>
                            <m:t>𝜀</m:t>
                          </m:r>
                        </m:e>
                      </m:acc>
                    </m:e>
                    <m:sub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𝑖</m:t>
                      </m:r>
                      <m:r>
                        <a:rPr lang="en-GB" sz="1100" i="1">
                          <a:effectLst/>
                          <a:latin typeface="Cambria Math"/>
                          <a:ea typeface="Calibri"/>
                          <a:cs typeface="Times New Roman"/>
                        </a:rPr>
                        <m:t>,2</m:t>
                      </m:r>
                    </m:sub>
                  </m:sSub>
                </m:oMath>
              </a14:m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,</a:t>
              </a:r>
              <a14:m>
                <m:oMath xmlns:m="http://schemas.openxmlformats.org/officeDocument/2006/math"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𝑖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=1…</m:t>
                  </m:r>
                  <m:r>
                    <a:rPr lang="en-GB" sz="1100" i="1">
                      <a:effectLst/>
                      <a:latin typeface="Cambria Math"/>
                      <a:ea typeface="Times New Roman"/>
                      <a:cs typeface="Times New Roman"/>
                    </a:rPr>
                    <m:t>𝑛𝑜𝑏𝑠</m:t>
                  </m:r>
                </m:oMath>
              </a14:m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Repeat step 2. And 3.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100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From the set of simulated returns compute quantiles for VaR estimation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r>
                <a:rPr lang="en-GB" sz="1100">
                  <a:effectLst/>
                  <a:latin typeface="Times New Roman"/>
                  <a:ea typeface="Calibri"/>
                  <a:cs typeface="Times New Roman"/>
                </a:rPr>
                <a:t> </a:t>
              </a:r>
              <a:r>
                <a:rPr lang="en-GB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-----------------------------------------------------------------------------------------------------------------------------------</a:t>
              </a:r>
            </a:p>
            <a:p>
              <a:r>
                <a:rPr lang="en-GB" sz="1000">
                  <a:solidFill>
                    <a:schemeClr val="dk1"/>
                  </a:solidFill>
                  <a:effectLst/>
                  <a:latin typeface="Times New Roman"/>
                  <a:ea typeface="Times New Roman"/>
                  <a:cs typeface="Times New Roman"/>
                </a:rPr>
                <a:t>*Fund Performance is reported net of fees, while gross performance is reported for Equity and Bond</a:t>
              </a:r>
            </a:p>
            <a:p>
              <a:endParaRPr lang="en-GB" sz="1000">
                <a:solidFill>
                  <a:schemeClr val="dk1"/>
                </a:solidFill>
                <a:effectLst/>
                <a:latin typeface="Times New Roman"/>
                <a:ea typeface="Times New Roman"/>
                <a:cs typeface="Times New Roman"/>
              </a:endParaRPr>
            </a:p>
            <a:p>
              <a:r>
                <a:rPr lang="en-GB" sz="1000">
                  <a:solidFill>
                    <a:schemeClr val="dk1"/>
                  </a:solidFill>
                  <a:effectLst/>
                  <a:latin typeface="Times New Roman"/>
                  <a:ea typeface="Times New Roman"/>
                  <a:cs typeface="Times New Roman"/>
                </a:rPr>
                <a:t>**net of fees</a:t>
              </a:r>
            </a:p>
            <a:p>
              <a:pPr marL="228600" indent="228600">
                <a:lnSpc>
                  <a:spcPct val="115000"/>
                </a:lnSpc>
                <a:spcAft>
                  <a:spcPts val="1000"/>
                </a:spcAft>
              </a:pP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 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 u="none" strike="noStrike">
                  <a:effectLst/>
                  <a:latin typeface="Times New Roman"/>
                  <a:ea typeface="Times New Roman"/>
                  <a:cs typeface="Times New Roman"/>
                </a:rPr>
                <a:t> 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 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2" name="CasellaDiTesto 1"/>
            <xdr:cNvSpPr txBox="1"/>
          </xdr:nvSpPr>
          <xdr:spPr>
            <a:xfrm>
              <a:off x="1828800" y="762000"/>
              <a:ext cx="12668250" cy="1278255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100">
                  <a:effectLst/>
                  <a:latin typeface="Times New Roman"/>
                  <a:ea typeface="Calibri"/>
                  <a:cs typeface="Times New Roman"/>
                </a:rPr>
                <a:t>     </a:t>
              </a:r>
              <a:r>
                <a:rPr lang="en-GB" sz="1100" baseline="30000">
                  <a:effectLst/>
                  <a:latin typeface="Times New Roman"/>
                  <a:ea typeface="Calibri"/>
                  <a:cs typeface="Times New Roman"/>
                </a:rPr>
                <a:t>§</a:t>
              </a:r>
              <a:r>
                <a:rPr lang="en-GB" sz="1400">
                  <a:effectLst/>
                  <a:latin typeface="Times New Roman"/>
                  <a:ea typeface="Calibri"/>
                  <a:cs typeface="Times New Roman"/>
                </a:rPr>
                <a:t>VaR – PARAMETRIC ESTIMATION:</a:t>
              </a:r>
              <a:endParaRPr lang="en-GB" sz="1100">
                <a:effectLst/>
                <a:latin typeface="+mn-lt"/>
                <a:ea typeface="Calibri"/>
                <a:cs typeface="Times New Roman"/>
              </a:endParaRPr>
            </a:p>
            <a:p>
              <a:pPr indent="4572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Model description: </a:t>
              </a:r>
              <a:r>
                <a:rPr lang="en-GB" sz="1100" b="1">
                  <a:effectLst/>
                  <a:latin typeface="Times New Roman"/>
                  <a:ea typeface="Calibri"/>
                  <a:cs typeface="Times New Roman"/>
                </a:rPr>
                <a:t>GARCH(1,1)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100" i="0">
                  <a:effectLst/>
                  <a:latin typeface="Cambria Math"/>
                  <a:ea typeface="Calibri"/>
                  <a:cs typeface="Times New Roman"/>
                </a:rPr>
                <a:t>𝑟_𝑡=𝜇+ 𝜀_𝑡</a:t>
              </a:r>
              <a:r>
                <a:rPr lang="en-GB" sz="1100" i="1">
                  <a:effectLst/>
                  <a:latin typeface="Cambria Math"/>
                  <a:ea typeface="Calibri"/>
                  <a:cs typeface="Times New Roman"/>
                </a:rPr>
                <a:t/>
              </a:r>
              <a:br>
                <a:rPr lang="en-GB" sz="1100" i="1">
                  <a:effectLst/>
                  <a:latin typeface="Cambria Math"/>
                  <a:ea typeface="Calibri"/>
                  <a:cs typeface="Times New Roman"/>
                </a:rPr>
              </a:b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𝜀_𝑡=𝜎_𝑡 𝑒_𝑡</a:t>
              </a:r>
              <a:r>
                <a:rPr lang="en-GB" sz="1100" i="1">
                  <a:effectLst/>
                  <a:latin typeface="Cambria Math"/>
                  <a:ea typeface="Times New Roman"/>
                  <a:cs typeface="Times New Roman"/>
                </a:rPr>
                <a:t/>
              </a:r>
              <a:br>
                <a:rPr lang="en-GB" sz="1100" i="1">
                  <a:effectLst/>
                  <a:latin typeface="Cambria Math"/>
                  <a:ea typeface="Times New Roman"/>
                  <a:cs typeface="Times New Roman"/>
                </a:rPr>
              </a:b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𝜎_𝑡^2=𝜔+𝛼𝜀_(𝑡−1)^2+𝛽𝜎_(𝑡−1)^2</a:t>
              </a:r>
              <a:r>
                <a:rPr lang="en-GB" sz="1100" i="1">
                  <a:effectLst/>
                  <a:latin typeface="Cambria Math"/>
                  <a:ea typeface="Times New Roman"/>
                  <a:cs typeface="Times New Roman"/>
                </a:rPr>
                <a:t/>
              </a:r>
              <a:br>
                <a:rPr lang="en-GB" sz="1100" i="1">
                  <a:effectLst/>
                  <a:latin typeface="Cambria Math"/>
                  <a:ea typeface="Times New Roman"/>
                  <a:cs typeface="Times New Roman"/>
                </a:rPr>
              </a:b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𝜀_𝑡~𝑁(0,1) 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100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Firstly, returns up to 30-04-2018 are used to estimate the parameters (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𝜔</a:t>
              </a:r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,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 𝛼,𝛽</a:t>
              </a: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), then recursively the sample period is updated with most recent observations and the model is re-estimated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0" indent="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    </a:t>
              </a:r>
              <a:r>
                <a:rPr lang="en-GB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§</a:t>
              </a: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VaR – FILTERED HISTORICAL:</a:t>
              </a:r>
            </a:p>
            <a:p>
              <a:pPr marL="2286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VaR is computed using the empirical distribution of standardized residual, hence no assumption on the returns’ distribution is made.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0" indent="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    </a:t>
              </a:r>
              <a:r>
                <a:rPr lang="en-GB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§</a:t>
              </a:r>
              <a:r>
                <a:rPr lang="en-GB" sz="1400">
                  <a:solidFill>
                    <a:schemeClr val="dk1"/>
                  </a:solidFill>
                  <a:effectLst/>
                  <a:latin typeface="Times New Roman"/>
                  <a:ea typeface="Calibri"/>
                  <a:cs typeface="Times New Roman"/>
                </a:rPr>
                <a:t>VaR – MONTE CARLO:</a:t>
              </a:r>
            </a:p>
            <a:p>
              <a:pPr indent="4572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Model description: </a:t>
              </a:r>
              <a:r>
                <a:rPr lang="en-GB" sz="1100" b="1">
                  <a:effectLst/>
                  <a:latin typeface="Times New Roman"/>
                  <a:ea typeface="Calibri"/>
                  <a:cs typeface="Times New Roman"/>
                </a:rPr>
                <a:t>GARCH(1,1)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indent="457200"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 b="1">
                  <a:effectLst/>
                  <a:latin typeface="Times New Roman"/>
                  <a:ea typeface="Calibri"/>
                  <a:cs typeface="Times New Roman"/>
                </a:rPr>
                <a:t>Steps: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Generate a set of random numbers </a:t>
              </a:r>
              <a:r>
                <a:rPr lang="en-GB" sz="1100" i="0">
                  <a:effectLst/>
                  <a:latin typeface="Cambria Math"/>
                  <a:ea typeface="Calibri"/>
                  <a:cs typeface="Times New Roman"/>
                </a:rPr>
                <a:t>𝜀 ̃_(𝑖,1)</a:t>
              </a:r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,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𝑖=1…𝑛𝑜𝑏𝑠</a:t>
              </a: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 (nobs=10.000) from 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𝑁(0,1)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Compute simulated returns: </a:t>
              </a:r>
              <a:r>
                <a:rPr lang="en-GB" sz="1100" i="0">
                  <a:effectLst/>
                  <a:latin typeface="Cambria Math"/>
                  <a:ea typeface="Calibri"/>
                  <a:cs typeface="Times New Roman"/>
                </a:rPr>
                <a:t>𝑟 ̃_(𝑖,1)</a:t>
              </a:r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= 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𝜎_𝑡 </a:t>
              </a:r>
              <a:r>
                <a:rPr lang="en-GB" sz="1100" i="0">
                  <a:effectLst/>
                  <a:latin typeface="Cambria Math"/>
                  <a:ea typeface="Calibri"/>
                  <a:cs typeface="Times New Roman"/>
                </a:rPr>
                <a:t>𝜀 ̃_(𝑖,1)</a:t>
              </a:r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Update variance: 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𝜎 ̃_(𝑖,𝑡+2)^2=𝜔+𝛼</a:t>
              </a:r>
              <a:r>
                <a:rPr lang="en-GB" sz="1100" i="0">
                  <a:effectLst/>
                  <a:latin typeface="Cambria Math"/>
                  <a:cs typeface="Times New Roman"/>
                </a:rPr>
                <a:t>〖</a:t>
              </a:r>
              <a:r>
                <a:rPr lang="en-GB" sz="1100" i="0">
                  <a:effectLst/>
                  <a:latin typeface="Cambria Math"/>
                  <a:ea typeface="Calibri"/>
                  <a:cs typeface="Times New Roman"/>
                </a:rPr>
                <a:t>𝑟 ̃^2〗_(𝑖,𝑡+1)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+𝛽𝜎_(𝑡+1)^2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Draw a new set of random numbers distributed as 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𝑁(0,1)</a:t>
              </a:r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</a:t>
              </a:r>
              <a:r>
                <a:rPr lang="en-GB" sz="1100" i="0">
                  <a:effectLst/>
                  <a:latin typeface="Cambria Math"/>
                  <a:ea typeface="Calibri"/>
                  <a:cs typeface="Times New Roman"/>
                </a:rPr>
                <a:t>𝜀 ̃_(𝑖,2)</a:t>
              </a:r>
              <a:r>
                <a:rPr lang="en-GB" sz="1100">
                  <a:effectLst/>
                  <a:latin typeface="Times New Roman"/>
                  <a:ea typeface="Times New Roman"/>
                  <a:cs typeface="Times New Roman"/>
                </a:rPr>
                <a:t> ,</a:t>
              </a:r>
              <a:r>
                <a:rPr lang="en-GB" sz="1100" i="0">
                  <a:effectLst/>
                  <a:latin typeface="Cambria Math"/>
                  <a:ea typeface="Times New Roman"/>
                  <a:cs typeface="Times New Roman"/>
                </a:rPr>
                <a:t>𝑖=1…𝑛𝑜𝑏𝑠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Repeat step 2. And 3.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 marL="342900" lvl="0" indent="-342900">
                <a:lnSpc>
                  <a:spcPct val="115000"/>
                </a:lnSpc>
                <a:spcAft>
                  <a:spcPts val="1000"/>
                </a:spcAft>
                <a:buFont typeface="+mj-lt"/>
                <a:buAutoNum type="arabicPeriod"/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From the set of simulated returns compute quantiles for VaR estimation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r>
                <a:rPr lang="en-GB" sz="1100">
                  <a:effectLst/>
                  <a:latin typeface="Times New Roman"/>
                  <a:ea typeface="Calibri"/>
                  <a:cs typeface="Times New Roman"/>
                </a:rPr>
                <a:t> </a:t>
              </a:r>
              <a:r>
                <a:rPr lang="en-GB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-----------------------------------------------------------------------------------------------------------------------------------</a:t>
              </a:r>
            </a:p>
            <a:p>
              <a:r>
                <a:rPr lang="en-GB" sz="1000">
                  <a:solidFill>
                    <a:schemeClr val="dk1"/>
                  </a:solidFill>
                  <a:effectLst/>
                  <a:latin typeface="Times New Roman"/>
                  <a:ea typeface="Times New Roman"/>
                  <a:cs typeface="Times New Roman"/>
                </a:rPr>
                <a:t>*Fund Performance is reported net of fees, while gross performance is reported for Equity and Bond</a:t>
              </a:r>
            </a:p>
            <a:p>
              <a:endParaRPr lang="en-GB" sz="1000">
                <a:solidFill>
                  <a:schemeClr val="dk1"/>
                </a:solidFill>
                <a:effectLst/>
                <a:latin typeface="Times New Roman"/>
                <a:ea typeface="Times New Roman"/>
                <a:cs typeface="Times New Roman"/>
              </a:endParaRPr>
            </a:p>
            <a:p>
              <a:r>
                <a:rPr lang="en-GB" sz="1000">
                  <a:solidFill>
                    <a:schemeClr val="dk1"/>
                  </a:solidFill>
                  <a:effectLst/>
                  <a:latin typeface="Times New Roman"/>
                  <a:ea typeface="Times New Roman"/>
                  <a:cs typeface="Times New Roman"/>
                </a:rPr>
                <a:t>**net of fees</a:t>
              </a:r>
            </a:p>
            <a:p>
              <a:pPr marL="228600" indent="228600">
                <a:lnSpc>
                  <a:spcPct val="115000"/>
                </a:lnSpc>
                <a:spcAft>
                  <a:spcPts val="1000"/>
                </a:spcAft>
              </a:pP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Times New Roman"/>
                  <a:cs typeface="Times New Roman"/>
                </a:rPr>
                <a:t> 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 u="none" strike="noStrike">
                  <a:effectLst/>
                  <a:latin typeface="Times New Roman"/>
                  <a:ea typeface="Times New Roman"/>
                  <a:cs typeface="Times New Roman"/>
                </a:rPr>
                <a:t> 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pPr>
                <a:lnSpc>
                  <a:spcPct val="115000"/>
                </a:lnSpc>
                <a:spcAft>
                  <a:spcPts val="1000"/>
                </a:spcAft>
              </a:pPr>
              <a:r>
                <a:rPr lang="en-GB" sz="1000">
                  <a:effectLst/>
                  <a:latin typeface="Times New Roman"/>
                  <a:ea typeface="Calibri"/>
                  <a:cs typeface="Times New Roman"/>
                </a:rPr>
                <a:t> </a:t>
              </a:r>
              <a:endParaRPr lang="en-GB" sz="1000">
                <a:effectLst/>
                <a:latin typeface="+mn-lt"/>
                <a:ea typeface="Calibri"/>
                <a:cs typeface="Times New Roman"/>
              </a:endParaRPr>
            </a:p>
            <a:p>
              <a:endParaRPr lang="en-GB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lnSpc>
            <a:spcPct val="115000"/>
          </a:lnSpc>
          <a:spcAft>
            <a:spcPts val="1000"/>
          </a:spcAft>
          <a:defRPr sz="1100">
            <a:effectLst/>
            <a:latin typeface="Times New Roman"/>
            <a:ea typeface="Calibri"/>
            <a:cs typeface="Times New Roman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>
    <tabColor rgb="FF00B050"/>
  </sheetPr>
  <dimension ref="A1"/>
  <sheetViews>
    <sheetView topLeftCell="A39" workbookViewId="0">
      <selection activeCell="F58" sqref="F58"/>
    </sheetView>
  </sheetViews>
  <sheetFormatPr defaultRowHeight="15"/>
  <cols>
    <col min="1" max="16384" width="9.140625" style="58"/>
  </cols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rgb="FF00B050"/>
  </sheetPr>
  <dimension ref="A1"/>
  <sheetViews>
    <sheetView workbookViewId="0">
      <selection activeCell="F58" sqref="F58"/>
    </sheetView>
  </sheetViews>
  <sheetFormatPr defaultRowHeight="15"/>
  <cols>
    <col min="1" max="16384" width="9.140625" style="58"/>
  </cols>
  <sheetData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rgb="FF00B050"/>
  </sheetPr>
  <dimension ref="A1"/>
  <sheetViews>
    <sheetView workbookViewId="0">
      <selection activeCell="F58" sqref="F58"/>
    </sheetView>
  </sheetViews>
  <sheetFormatPr defaultRowHeight="15"/>
  <cols>
    <col min="1" max="16384" width="9.140625" style="58"/>
  </cols>
  <sheetData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rgb="FF5F1AEA"/>
  </sheetPr>
  <dimension ref="A1"/>
  <sheetViews>
    <sheetView workbookViewId="0">
      <selection activeCell="F58" sqref="F58"/>
    </sheetView>
  </sheetViews>
  <sheetFormatPr defaultRowHeight="15"/>
  <cols>
    <col min="1" max="16384" width="9.140625" style="58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rgb="FF5F1AEA"/>
  </sheetPr>
  <dimension ref="A1"/>
  <sheetViews>
    <sheetView workbookViewId="0">
      <selection activeCell="F58" sqref="F58"/>
    </sheetView>
  </sheetViews>
  <sheetFormatPr defaultRowHeight="15"/>
  <cols>
    <col min="1" max="16384" width="9.140625" style="58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rgb="FF5F1AEA"/>
  </sheetPr>
  <dimension ref="A1"/>
  <sheetViews>
    <sheetView workbookViewId="0">
      <selection activeCell="F58" sqref="F58"/>
    </sheetView>
  </sheetViews>
  <sheetFormatPr defaultRowHeight="15"/>
  <cols>
    <col min="1" max="16384" width="9.140625" style="58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rgb="FFDC5D24"/>
  </sheetPr>
  <dimension ref="A1"/>
  <sheetViews>
    <sheetView workbookViewId="0">
      <selection activeCell="F58" sqref="F58"/>
    </sheetView>
  </sheetViews>
  <sheetFormatPr defaultRowHeight="15"/>
  <cols>
    <col min="1" max="16384" width="9.140625" style="58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tabColor rgb="FFDC5D24"/>
  </sheetPr>
  <dimension ref="A1"/>
  <sheetViews>
    <sheetView zoomScaleNormal="100" workbookViewId="0">
      <selection activeCell="F58" sqref="F58"/>
    </sheetView>
  </sheetViews>
  <sheetFormatPr defaultRowHeight="15"/>
  <cols>
    <col min="1" max="16384" width="9.140625" style="58"/>
  </cols>
  <sheetData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>
    <tabColor rgb="FFFF0000"/>
  </sheetPr>
  <dimension ref="A1"/>
  <sheetViews>
    <sheetView workbookViewId="0">
      <selection activeCell="F58" sqref="F58"/>
    </sheetView>
  </sheetViews>
  <sheetFormatPr defaultRowHeight="15"/>
  <cols>
    <col min="1" max="16384" width="9.140625" style="58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"/>
  <sheetViews>
    <sheetView workbookViewId="0">
      <selection activeCell="F34" sqref="F34"/>
    </sheetView>
  </sheetViews>
  <sheetFormatPr defaultRowHeight="15"/>
  <cols>
    <col min="1" max="16384" width="9.140625" style="58"/>
  </cols>
  <sheetData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6"/>
  <dimension ref="A1"/>
  <sheetViews>
    <sheetView workbookViewId="0">
      <selection activeCell="K12" sqref="K12"/>
    </sheetView>
  </sheetViews>
  <sheetFormatPr defaultRowHeight="1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1</xdr:col>
                <xdr:colOff>600075</xdr:colOff>
                <xdr:row>3</xdr:row>
                <xdr:rowOff>9525</xdr:rowOff>
              </from>
              <to>
                <xdr:col>4</xdr:col>
                <xdr:colOff>600075</xdr:colOff>
                <xdr:row>5</xdr:row>
                <xdr:rowOff>0</xdr:rowOff>
              </to>
            </anchor>
          </controlPr>
        </control>
      </mc:Choice>
      <mc:Fallback>
        <control shapeId="20481" r:id="rId3" name="CommandButton1"/>
      </mc:Fallback>
    </mc:AlternateContent>
    <mc:AlternateContent xmlns:mc="http://schemas.openxmlformats.org/markup-compatibility/2006">
      <mc:Choice Requires="x14">
        <control shapeId="20484" r:id="rId5" name="CommandButton2">
          <controlPr defaultSize="0" autoLine="0" r:id="rId6">
            <anchor moveWithCells="1">
              <from>
                <xdr:col>1</xdr:col>
                <xdr:colOff>600075</xdr:colOff>
                <xdr:row>6</xdr:row>
                <xdr:rowOff>9525</xdr:rowOff>
              </from>
              <to>
                <xdr:col>4</xdr:col>
                <xdr:colOff>600075</xdr:colOff>
                <xdr:row>8</xdr:row>
                <xdr:rowOff>0</xdr:rowOff>
              </to>
            </anchor>
          </controlPr>
        </control>
      </mc:Choice>
      <mc:Fallback>
        <control shapeId="20484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pageSetUpPr fitToPage="1"/>
  </sheetPr>
  <dimension ref="A13:R29"/>
  <sheetViews>
    <sheetView showGridLines="0" zoomScaleNormal="100" workbookViewId="0">
      <selection activeCell="B1" sqref="B1"/>
    </sheetView>
  </sheetViews>
  <sheetFormatPr defaultRowHeight="15"/>
  <cols>
    <col min="1" max="6" width="9.140625" style="67"/>
    <col min="7" max="7" width="10.7109375" style="67" bestFit="1" customWidth="1"/>
    <col min="8" max="16384" width="9.140625" style="67"/>
  </cols>
  <sheetData>
    <row r="13" spans="2:2">
      <c r="B13" s="49"/>
    </row>
    <row r="15" spans="2:2" ht="15" customHeight="1"/>
    <row r="16" spans="2:2" ht="18.75" customHeight="1"/>
    <row r="17" spans="1:18" ht="15" customHeight="1"/>
    <row r="18" spans="1:18" ht="15" customHeight="1"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</row>
    <row r="19" spans="1:18" ht="15" customHeight="1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</row>
    <row r="20" spans="1:18" ht="15" customHeight="1"/>
    <row r="21" spans="1:18" ht="27.75" customHeight="1">
      <c r="A21" s="112" t="s">
        <v>38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</row>
    <row r="22" spans="1:18" ht="15" customHeight="1"/>
    <row r="23" spans="1:18" ht="23.25">
      <c r="A23" s="113" t="s">
        <v>116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</row>
    <row r="26" spans="1:18">
      <c r="D26" s="75" t="s">
        <v>124</v>
      </c>
      <c r="F26" s="77">
        <v>20190215</v>
      </c>
      <c r="G26" s="74">
        <f>+DATE(I26,J26,K26)</f>
        <v>43511</v>
      </c>
      <c r="I26" s="78" t="str">
        <f>+LEFT($F26,4)</f>
        <v>2019</v>
      </c>
      <c r="J26" s="78" t="str">
        <f>+RIGHT(LEFT($F26,6),2)</f>
        <v>02</v>
      </c>
      <c r="K26" s="78" t="str">
        <f>+RIGHT($F26,2)</f>
        <v>15</v>
      </c>
    </row>
    <row r="27" spans="1:18">
      <c r="D27" s="75" t="s">
        <v>125</v>
      </c>
      <c r="F27" s="77">
        <v>20190131</v>
      </c>
      <c r="G27" s="74">
        <f t="shared" ref="G27:G28" si="0">+DATE(I27,J27,K27)</f>
        <v>43496</v>
      </c>
      <c r="I27" s="78" t="str">
        <f t="shared" ref="I27:I28" si="1">+LEFT($F27,4)</f>
        <v>2019</v>
      </c>
      <c r="J27" s="78" t="str">
        <f t="shared" ref="J27:J28" si="2">+RIGHT(LEFT($F27,6),2)</f>
        <v>01</v>
      </c>
      <c r="K27" s="78" t="str">
        <f t="shared" ref="K27:K28" si="3">+RIGHT($F27,2)</f>
        <v>31</v>
      </c>
    </row>
    <row r="28" spans="1:18">
      <c r="D28" s="75" t="s">
        <v>126</v>
      </c>
      <c r="F28" s="77">
        <v>20181228</v>
      </c>
      <c r="G28" s="74">
        <f t="shared" si="0"/>
        <v>43462</v>
      </c>
      <c r="I28" s="78" t="str">
        <f t="shared" si="1"/>
        <v>2018</v>
      </c>
      <c r="J28" s="78" t="str">
        <f t="shared" si="2"/>
        <v>12</v>
      </c>
      <c r="K28" s="78" t="str">
        <f t="shared" si="3"/>
        <v>28</v>
      </c>
    </row>
    <row r="29" spans="1:18">
      <c r="I29" s="76"/>
      <c r="J29" s="76"/>
      <c r="K29" s="76"/>
    </row>
  </sheetData>
  <mergeCells count="3">
    <mergeCell ref="A19:R19"/>
    <mergeCell ref="A21:R21"/>
    <mergeCell ref="A23:R23"/>
  </mergeCells>
  <pageMargins left="0.7" right="0.7" top="0.5" bottom="0.75" header="0.3" footer="0.3"/>
  <pageSetup paperSize="9" scale="79" orientation="landscape" r:id="rId1"/>
  <headerFooter>
    <oddHeader>&amp;CFININT ECONOMIA REALE ITALIA&amp;RReport as of: 20190215</oddHeader>
    <oddFooter>&amp;CPrinted &amp;D &amp;T&amp;RPage &amp;P of &amp;N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pageSetUpPr fitToPage="1"/>
  </sheetPr>
  <dimension ref="C1:M4"/>
  <sheetViews>
    <sheetView showGridLines="0" zoomScaleNormal="100" workbookViewId="0">
      <selection activeCell="C29" sqref="C29"/>
    </sheetView>
  </sheetViews>
  <sheetFormatPr defaultRowHeight="15"/>
  <cols>
    <col min="1" max="1" width="9.140625" style="58" customWidth="1"/>
    <col min="2" max="2" width="10.7109375" style="58" bestFit="1" customWidth="1"/>
    <col min="3" max="3" width="21.140625" style="2" bestFit="1" customWidth="1"/>
    <col min="4" max="4" width="20.85546875" style="64" bestFit="1" customWidth="1"/>
    <col min="5" max="5" width="9.140625" style="6" customWidth="1"/>
    <col min="6" max="6" width="10.7109375" style="58" bestFit="1" customWidth="1"/>
    <col min="7" max="7" width="21.140625" style="2" bestFit="1" customWidth="1"/>
    <col min="8" max="8" width="20.85546875" style="64" bestFit="1" customWidth="1"/>
    <col min="9" max="9" width="9.140625" style="6" customWidth="1"/>
    <col min="10" max="10" width="10.7109375" style="58" bestFit="1" customWidth="1"/>
    <col min="11" max="11" width="21.140625" style="2" bestFit="1" customWidth="1"/>
    <col min="12" max="12" width="20.85546875" style="64" bestFit="1" customWidth="1"/>
    <col min="13" max="13" width="9.140625" style="6" customWidth="1"/>
    <col min="14" max="63" width="9.140625" style="58" customWidth="1"/>
    <col min="64" max="16384" width="9.140625" style="58"/>
  </cols>
  <sheetData>
    <row r="1" spans="3:13">
      <c r="C1" s="10"/>
      <c r="D1" s="11"/>
      <c r="E1" s="57"/>
      <c r="F1" s="12"/>
      <c r="G1" s="10"/>
      <c r="H1" s="11"/>
      <c r="I1" s="57"/>
      <c r="J1" s="12"/>
      <c r="K1" s="10"/>
      <c r="L1" s="11"/>
      <c r="M1" s="57"/>
    </row>
    <row r="2" spans="3:13" ht="30" customHeight="1">
      <c r="C2" s="114" t="s">
        <v>27</v>
      </c>
      <c r="D2" s="115"/>
      <c r="E2" s="116"/>
      <c r="F2" s="12"/>
      <c r="G2" s="114" t="s">
        <v>21</v>
      </c>
      <c r="H2" s="115"/>
      <c r="I2" s="116"/>
      <c r="J2" s="12"/>
      <c r="K2" s="114" t="s">
        <v>28</v>
      </c>
      <c r="L2" s="115"/>
      <c r="M2" s="116"/>
    </row>
    <row r="3" spans="3:13">
      <c r="C3" s="10"/>
      <c r="D3" s="11"/>
      <c r="E3" s="57"/>
      <c r="F3" s="12"/>
      <c r="G3" s="10"/>
      <c r="H3" s="11"/>
      <c r="I3" s="57"/>
      <c r="J3" s="12"/>
      <c r="K3" s="10"/>
      <c r="L3" s="11"/>
      <c r="M3" s="57"/>
    </row>
    <row r="4" spans="3:13">
      <c r="C4" s="10"/>
      <c r="D4" s="11"/>
      <c r="E4" s="57"/>
      <c r="F4" s="12"/>
      <c r="G4" s="10"/>
      <c r="H4" s="11"/>
      <c r="I4" s="57"/>
      <c r="J4" s="12"/>
      <c r="K4" s="10"/>
      <c r="L4" s="11"/>
      <c r="M4" s="57"/>
    </row>
  </sheetData>
  <mergeCells count="3">
    <mergeCell ref="C2:E2"/>
    <mergeCell ref="G2:I2"/>
    <mergeCell ref="K2:M2"/>
  </mergeCells>
  <printOptions horizontalCentered="1" verticalCentered="1"/>
  <pageMargins left="0.70866141732283472" right="0.70866141732283472" top="0.19685039370078741" bottom="0.74803149606299213" header="0" footer="0.31496062992125978"/>
  <pageSetup paperSize="9" scale="67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74"/>
  <sheetViews>
    <sheetView topLeftCell="A4" zoomScale="90" zoomScaleNormal="90" workbookViewId="0">
      <selection activeCell="M50" sqref="M50"/>
    </sheetView>
  </sheetViews>
  <sheetFormatPr defaultRowHeight="15"/>
  <cols>
    <col min="1" max="1" width="9.140625" style="9"/>
    <col min="2" max="2" width="19.7109375" style="9" customWidth="1"/>
    <col min="3" max="3" width="8.42578125" style="9" bestFit="1" customWidth="1"/>
    <col min="4" max="4" width="3.42578125" style="9" customWidth="1"/>
    <col min="5" max="5" width="19.7109375" style="9" customWidth="1"/>
    <col min="6" max="6" width="8.42578125" style="9" bestFit="1" customWidth="1"/>
    <col min="7" max="7" width="2.5703125" style="9" customWidth="1"/>
    <col min="8" max="8" width="19.7109375" style="9" customWidth="1"/>
    <col min="9" max="9" width="8.42578125" style="9" bestFit="1" customWidth="1"/>
    <col min="10" max="10" width="3.7109375" style="9" customWidth="1"/>
    <col min="11" max="12" width="3.7109375" customWidth="1"/>
  </cols>
  <sheetData>
    <row r="2" spans="2:26">
      <c r="B2" s="118" t="s">
        <v>177</v>
      </c>
      <c r="C2" s="118"/>
      <c r="D2" s="118"/>
      <c r="E2" s="118"/>
      <c r="F2" s="118"/>
      <c r="G2" s="118"/>
      <c r="H2" s="118"/>
      <c r="I2" s="118"/>
      <c r="M2" s="118" t="s">
        <v>174</v>
      </c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</row>
    <row r="3" spans="2:26" ht="7.5" customHeight="1"/>
    <row r="4" spans="2:26">
      <c r="B4"/>
      <c r="C4"/>
      <c r="D4"/>
      <c r="E4"/>
      <c r="F4"/>
      <c r="G4"/>
      <c r="H4"/>
      <c r="I4"/>
      <c r="M4" s="119" t="s">
        <v>38</v>
      </c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</row>
    <row r="5" spans="2:26" ht="15.75" thickBot="1">
      <c r="B5"/>
      <c r="C5"/>
      <c r="D5"/>
      <c r="E5"/>
      <c r="F5"/>
      <c r="G5"/>
      <c r="H5"/>
      <c r="I5"/>
      <c r="M5" s="18" t="s">
        <v>39</v>
      </c>
      <c r="N5" s="18" t="s">
        <v>40</v>
      </c>
      <c r="O5" s="18" t="s">
        <v>41</v>
      </c>
      <c r="P5" s="18" t="s">
        <v>42</v>
      </c>
      <c r="Q5" s="18" t="s">
        <v>43</v>
      </c>
      <c r="R5" s="18" t="s">
        <v>44</v>
      </c>
      <c r="S5" s="18" t="s">
        <v>45</v>
      </c>
      <c r="T5" s="18" t="s">
        <v>46</v>
      </c>
      <c r="U5" s="18" t="s">
        <v>47</v>
      </c>
      <c r="V5" s="18" t="s">
        <v>48</v>
      </c>
      <c r="W5" s="18" t="s">
        <v>49</v>
      </c>
      <c r="X5" s="18" t="s">
        <v>50</v>
      </c>
      <c r="Y5" s="18" t="s">
        <v>51</v>
      </c>
      <c r="Z5" s="18" t="s">
        <v>52</v>
      </c>
    </row>
    <row r="6" spans="2:26" ht="15.75" thickTop="1">
      <c r="B6"/>
      <c r="C6"/>
      <c r="D6"/>
      <c r="E6"/>
      <c r="F6"/>
      <c r="G6"/>
      <c r="H6"/>
      <c r="I6"/>
      <c r="M6" s="19">
        <f>+'Performance sheet'!AG5</f>
        <v>0</v>
      </c>
      <c r="N6" s="22" t="str">
        <f>+IF('Performance sheet'!AH5="","",'Performance sheet'!AH5)</f>
        <v/>
      </c>
      <c r="O6" s="22" t="str">
        <f>+IF('Performance sheet'!AI5="","",'Performance sheet'!AI5)</f>
        <v/>
      </c>
      <c r="P6" s="22" t="str">
        <f>+IF('Performance sheet'!AJ5="","",'Performance sheet'!AJ5)</f>
        <v/>
      </c>
      <c r="Q6" s="22" t="str">
        <f>+IF('Performance sheet'!AK5="","",'Performance sheet'!AK5)</f>
        <v/>
      </c>
      <c r="R6" s="22" t="str">
        <f>+IF('Performance sheet'!AL5="","",'Performance sheet'!AL5)</f>
        <v/>
      </c>
      <c r="S6" s="22" t="str">
        <f>+IF('Performance sheet'!AM5="","",'Performance sheet'!AM5)</f>
        <v/>
      </c>
      <c r="T6" s="22" t="str">
        <f>+IF('Performance sheet'!AN5="","",'Performance sheet'!AN5)</f>
        <v/>
      </c>
      <c r="U6" s="22" t="str">
        <f>+IF('Performance sheet'!AO5="","",'Performance sheet'!AO5)</f>
        <v/>
      </c>
      <c r="V6" s="22" t="str">
        <f>+IF('Performance sheet'!AP5="","",'Performance sheet'!AP5)</f>
        <v/>
      </c>
      <c r="W6" s="22" t="str">
        <f>+IF('Performance sheet'!AQ5="","",'Performance sheet'!AQ5)</f>
        <v/>
      </c>
      <c r="X6" s="22" t="str">
        <f>+IF('Performance sheet'!AR5="","",'Performance sheet'!AR5)</f>
        <v/>
      </c>
      <c r="Y6" s="22" t="str">
        <f>+IF('Performance sheet'!AS5="","",'Performance sheet'!AS5)</f>
        <v/>
      </c>
      <c r="Z6" s="22" t="str">
        <f>+IF('Performance sheet'!AT5="","",'Performance sheet'!AT5)</f>
        <v/>
      </c>
    </row>
    <row r="7" spans="2:26">
      <c r="B7"/>
      <c r="C7"/>
      <c r="D7"/>
      <c r="E7"/>
      <c r="F7"/>
      <c r="G7"/>
      <c r="H7"/>
      <c r="I7"/>
      <c r="M7" s="20">
        <f>+'Performance sheet'!AG6</f>
        <v>0</v>
      </c>
      <c r="N7" s="23" t="str">
        <f>+IF('Performance sheet'!AH6="","",'Performance sheet'!AH6)</f>
        <v/>
      </c>
      <c r="O7" s="23" t="str">
        <f>+IF('Performance sheet'!AI6="","",'Performance sheet'!AI6)</f>
        <v/>
      </c>
      <c r="P7" s="23" t="str">
        <f>+IF('Performance sheet'!AJ6="","",'Performance sheet'!AJ6)</f>
        <v/>
      </c>
      <c r="Q7" s="23" t="str">
        <f>+IF('Performance sheet'!AK6="","",'Performance sheet'!AK6)</f>
        <v/>
      </c>
      <c r="R7" s="23" t="str">
        <f>+IF('Performance sheet'!AL6="","",'Performance sheet'!AL6)</f>
        <v/>
      </c>
      <c r="S7" s="23" t="str">
        <f>+IF('Performance sheet'!AM6="","",'Performance sheet'!AM6)</f>
        <v/>
      </c>
      <c r="T7" s="23" t="str">
        <f>+IF('Performance sheet'!AN6="","",'Performance sheet'!AN6)</f>
        <v/>
      </c>
      <c r="U7" s="23" t="str">
        <f>+IF('Performance sheet'!AO6="","",'Performance sheet'!AO6)</f>
        <v/>
      </c>
      <c r="V7" s="23" t="str">
        <f>+IF('Performance sheet'!AP6="","",'Performance sheet'!AP6)</f>
        <v/>
      </c>
      <c r="W7" s="23" t="str">
        <f>+IF('Performance sheet'!AQ6="","",'Performance sheet'!AQ6)</f>
        <v/>
      </c>
      <c r="X7" s="23" t="str">
        <f>+IF('Performance sheet'!AR6="","",'Performance sheet'!AR6)</f>
        <v/>
      </c>
      <c r="Y7" s="23" t="str">
        <f>+IF('Performance sheet'!AS6="","",'Performance sheet'!AS6)</f>
        <v/>
      </c>
      <c r="Z7" s="23" t="str">
        <f>+IF('Performance sheet'!AT6="","",'Performance sheet'!AT6)</f>
        <v/>
      </c>
    </row>
    <row r="8" spans="2:26" s="9" customFormat="1" ht="15.75" thickBot="1">
      <c r="B8"/>
      <c r="C8"/>
      <c r="D8"/>
      <c r="E8"/>
      <c r="F8"/>
      <c r="G8"/>
      <c r="H8"/>
      <c r="I8"/>
      <c r="M8" s="21">
        <f>+'Performance sheet'!AG7</f>
        <v>0</v>
      </c>
      <c r="N8" s="1" t="str">
        <f>+IF('Performance sheet'!AH7="","",'Performance sheet'!AH7)</f>
        <v/>
      </c>
      <c r="O8" s="1" t="str">
        <f>+IF('Performance sheet'!AI7="","",'Performance sheet'!AI7)</f>
        <v/>
      </c>
      <c r="P8" s="1" t="str">
        <f>+IF('Performance sheet'!AJ7="","",'Performance sheet'!AJ7)</f>
        <v/>
      </c>
      <c r="Q8" s="1" t="str">
        <f>+IF('Performance sheet'!AK7="","",'Performance sheet'!AK7)</f>
        <v/>
      </c>
      <c r="R8" s="1" t="str">
        <f>+IF('Performance sheet'!AL7="","",'Performance sheet'!AL7)</f>
        <v/>
      </c>
      <c r="S8" s="1" t="str">
        <f>+IF('Performance sheet'!AM7="","",'Performance sheet'!AM7)</f>
        <v/>
      </c>
      <c r="T8" s="1" t="str">
        <f>+IF('Performance sheet'!AN7="","",'Performance sheet'!AN7)</f>
        <v/>
      </c>
      <c r="U8" s="1" t="str">
        <f>+IF('Performance sheet'!AO7="","",'Performance sheet'!AO7)</f>
        <v/>
      </c>
      <c r="V8" s="1" t="str">
        <f>+IF('Performance sheet'!AP7="","",'Performance sheet'!AP7)</f>
        <v/>
      </c>
      <c r="W8" s="1" t="str">
        <f>+IF('Performance sheet'!AQ7="","",'Performance sheet'!AQ7)</f>
        <v/>
      </c>
      <c r="X8" s="1" t="str">
        <f>+IF('Performance sheet'!AR7="","",'Performance sheet'!AR7)</f>
        <v/>
      </c>
      <c r="Y8" s="1" t="str">
        <f>+IF('Performance sheet'!AS7="","",'Performance sheet'!AS7)</f>
        <v/>
      </c>
      <c r="Z8" s="1" t="str">
        <f>+IF('Performance sheet'!AT7="","",'Performance sheet'!AT7)</f>
        <v/>
      </c>
    </row>
    <row r="9" spans="2:26" s="9" customFormat="1" ht="15.75" thickTop="1">
      <c r="B9"/>
      <c r="C9"/>
      <c r="D9"/>
      <c r="E9"/>
      <c r="F9"/>
      <c r="G9"/>
      <c r="H9"/>
      <c r="I9"/>
      <c r="M9" s="24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2:26">
      <c r="B10"/>
      <c r="C10"/>
      <c r="D10"/>
      <c r="E10"/>
      <c r="F10"/>
      <c r="G10"/>
      <c r="H10"/>
      <c r="I10"/>
      <c r="M10" s="117" t="s">
        <v>97</v>
      </c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</row>
    <row r="14" spans="2:26" s="9" customFormat="1"/>
    <row r="15" spans="2:26" s="34" customFormat="1"/>
    <row r="16" spans="2:26" s="34" customFormat="1"/>
    <row r="17" spans="2:23" s="34" customFormat="1"/>
    <row r="18" spans="2:23" s="34" customFormat="1"/>
    <row r="19" spans="2:23" s="34" customFormat="1"/>
    <row r="20" spans="2:23" s="34" customFormat="1"/>
    <row r="21" spans="2:23" s="34" customFormat="1"/>
    <row r="22" spans="2:23" s="34" customFormat="1">
      <c r="B22" s="118" t="s">
        <v>176</v>
      </c>
      <c r="C22" s="118"/>
      <c r="D22" s="118"/>
      <c r="E22" s="118"/>
      <c r="F22" s="118"/>
      <c r="G22" s="118"/>
      <c r="H22" s="118"/>
      <c r="I22" s="118"/>
    </row>
    <row r="23" spans="2:23" s="34" customFormat="1">
      <c r="B23" s="9"/>
      <c r="C23" s="9"/>
      <c r="D23" s="9"/>
      <c r="E23" s="9"/>
      <c r="F23" s="9"/>
      <c r="G23" s="9"/>
      <c r="H23" s="9"/>
      <c r="I23" s="9"/>
      <c r="O23" s="45"/>
      <c r="P23" s="46"/>
      <c r="S23" s="45"/>
      <c r="T23" s="46"/>
      <c r="W23" s="45"/>
    </row>
    <row r="24" spans="2:23" s="34" customFormat="1">
      <c r="B24" s="13" t="s">
        <v>61</v>
      </c>
      <c r="C24" s="14" t="s">
        <v>29</v>
      </c>
      <c r="D24" s="30"/>
      <c r="E24" s="13" t="s">
        <v>61</v>
      </c>
      <c r="F24" s="14" t="s">
        <v>30</v>
      </c>
      <c r="G24" s="30"/>
      <c r="H24" s="13" t="s">
        <v>61</v>
      </c>
      <c r="I24" s="14" t="s">
        <v>31</v>
      </c>
      <c r="O24" s="45"/>
      <c r="P24" s="46"/>
      <c r="S24" s="45"/>
      <c r="T24" s="46"/>
      <c r="W24" s="45"/>
    </row>
    <row r="25" spans="2:23" s="34" customFormat="1">
      <c r="B25" s="15" t="s">
        <v>66</v>
      </c>
      <c r="C25" s="36"/>
      <c r="D25" s="35"/>
      <c r="E25" s="15" t="s">
        <v>66</v>
      </c>
      <c r="F25" s="35"/>
      <c r="G25" s="35"/>
      <c r="H25" s="15" t="s">
        <v>66</v>
      </c>
      <c r="I25" s="35"/>
      <c r="O25" s="45"/>
      <c r="P25" s="46"/>
      <c r="S25" s="45"/>
      <c r="T25" s="46"/>
      <c r="W25" s="45"/>
    </row>
    <row r="26" spans="2:23" s="34" customFormat="1">
      <c r="B26" s="15" t="s">
        <v>67</v>
      </c>
      <c r="C26" s="36"/>
      <c r="D26" s="35"/>
      <c r="E26" s="15" t="s">
        <v>67</v>
      </c>
      <c r="F26" s="35"/>
      <c r="G26" s="35"/>
      <c r="H26" s="15" t="s">
        <v>67</v>
      </c>
      <c r="I26" s="35"/>
      <c r="O26" s="45"/>
      <c r="P26" s="46"/>
      <c r="S26" s="45"/>
      <c r="T26" s="46"/>
      <c r="W26" s="45"/>
    </row>
    <row r="27" spans="2:23" s="34" customFormat="1">
      <c r="B27" s="15" t="s">
        <v>68</v>
      </c>
      <c r="C27" s="36"/>
      <c r="D27" s="35"/>
      <c r="E27" s="15" t="s">
        <v>68</v>
      </c>
      <c r="F27" s="35"/>
      <c r="G27" s="35"/>
      <c r="H27" s="15" t="s">
        <v>68</v>
      </c>
      <c r="I27" s="35"/>
      <c r="O27" s="45"/>
      <c r="P27" s="46"/>
      <c r="S27" s="45"/>
      <c r="T27" s="46"/>
      <c r="W27" s="45"/>
    </row>
    <row r="28" spans="2:23" s="34" customFormat="1">
      <c r="B28" s="15" t="s">
        <v>69</v>
      </c>
      <c r="C28" s="36"/>
      <c r="D28" s="35"/>
      <c r="E28" s="15" t="s">
        <v>69</v>
      </c>
      <c r="F28" s="35"/>
      <c r="G28" s="35"/>
      <c r="H28" s="15" t="s">
        <v>69</v>
      </c>
      <c r="I28" s="35"/>
      <c r="O28" s="45"/>
      <c r="P28" s="46"/>
      <c r="S28" s="45"/>
      <c r="T28" s="46"/>
      <c r="W28" s="45"/>
    </row>
    <row r="29" spans="2:23" s="34" customFormat="1"/>
    <row r="30" spans="2:23" s="34" customFormat="1">
      <c r="B30" s="13" t="s">
        <v>62</v>
      </c>
      <c r="C30" s="14" t="s">
        <v>29</v>
      </c>
      <c r="E30" s="13" t="s">
        <v>62</v>
      </c>
      <c r="F30" s="14" t="s">
        <v>30</v>
      </c>
      <c r="H30" s="13" t="s">
        <v>62</v>
      </c>
      <c r="I30" s="14" t="s">
        <v>31</v>
      </c>
    </row>
    <row r="31" spans="2:23" s="34" customFormat="1">
      <c r="B31" s="15" t="s">
        <v>57</v>
      </c>
      <c r="C31" s="44"/>
      <c r="D31" s="44"/>
      <c r="E31" s="15" t="s">
        <v>57</v>
      </c>
      <c r="F31" s="44"/>
      <c r="G31" s="44"/>
      <c r="H31" s="15" t="s">
        <v>57</v>
      </c>
      <c r="I31" s="44"/>
    </row>
    <row r="32" spans="2:23" s="34" customFormat="1">
      <c r="B32" s="15" t="s">
        <v>58</v>
      </c>
      <c r="C32" s="44"/>
      <c r="D32" s="44"/>
      <c r="E32" s="15" t="s">
        <v>58</v>
      </c>
      <c r="F32" s="44"/>
      <c r="G32" s="44"/>
      <c r="H32" s="15" t="s">
        <v>58</v>
      </c>
      <c r="I32" s="44"/>
    </row>
    <row r="33" spans="2:26" s="34" customFormat="1">
      <c r="B33" s="15" t="s">
        <v>59</v>
      </c>
      <c r="C33" s="44"/>
      <c r="D33" s="44"/>
      <c r="E33" s="15" t="s">
        <v>59</v>
      </c>
      <c r="F33" s="44"/>
      <c r="G33" s="44"/>
      <c r="H33" s="15" t="s">
        <v>59</v>
      </c>
      <c r="I33" s="44"/>
    </row>
    <row r="34" spans="2:26" s="34" customFormat="1">
      <c r="B34" s="15" t="s">
        <v>60</v>
      </c>
      <c r="C34" s="44"/>
      <c r="D34" s="44"/>
      <c r="E34" s="15" t="s">
        <v>60</v>
      </c>
      <c r="F34" s="44"/>
      <c r="G34" s="44"/>
      <c r="H34" s="15" t="s">
        <v>60</v>
      </c>
      <c r="I34" s="44"/>
    </row>
    <row r="35" spans="2:26" s="34" customFormat="1">
      <c r="M35" s="118" t="s">
        <v>175</v>
      </c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</row>
    <row r="36" spans="2:26" s="34" customFormat="1">
      <c r="B36" s="13" t="s">
        <v>64</v>
      </c>
      <c r="C36" s="14" t="s">
        <v>29</v>
      </c>
      <c r="E36" s="13" t="s">
        <v>64</v>
      </c>
      <c r="F36" s="14" t="s">
        <v>30</v>
      </c>
      <c r="H36" s="13" t="s">
        <v>64</v>
      </c>
      <c r="I36" s="14" t="s">
        <v>31</v>
      </c>
      <c r="M36" s="119" t="s">
        <v>21</v>
      </c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2:26" ht="15.75" thickBot="1">
      <c r="B37" s="47" t="s">
        <v>66</v>
      </c>
      <c r="C37" s="36"/>
      <c r="D37" s="35"/>
      <c r="E37" s="47" t="s">
        <v>66</v>
      </c>
      <c r="F37" s="35"/>
      <c r="G37" s="35"/>
      <c r="H37" s="47" t="s">
        <v>66</v>
      </c>
      <c r="I37" s="35"/>
      <c r="M37" s="18" t="s">
        <v>39</v>
      </c>
      <c r="N37" s="18" t="s">
        <v>40</v>
      </c>
      <c r="O37" s="18" t="s">
        <v>41</v>
      </c>
      <c r="P37" s="18" t="s">
        <v>42</v>
      </c>
      <c r="Q37" s="18" t="s">
        <v>43</v>
      </c>
      <c r="R37" s="18" t="s">
        <v>44</v>
      </c>
      <c r="S37" s="18" t="s">
        <v>45</v>
      </c>
      <c r="T37" s="18" t="s">
        <v>46</v>
      </c>
      <c r="U37" s="18" t="s">
        <v>47</v>
      </c>
      <c r="V37" s="18" t="s">
        <v>48</v>
      </c>
      <c r="W37" s="18" t="s">
        <v>49</v>
      </c>
      <c r="X37" s="18" t="s">
        <v>50</v>
      </c>
      <c r="Y37" s="18" t="s">
        <v>51</v>
      </c>
      <c r="Z37" s="18" t="s">
        <v>52</v>
      </c>
    </row>
    <row r="38" spans="2:26" ht="15.75" thickTop="1">
      <c r="B38" s="47" t="s">
        <v>67</v>
      </c>
      <c r="C38" s="36"/>
      <c r="D38" s="35"/>
      <c r="E38" s="47" t="s">
        <v>67</v>
      </c>
      <c r="F38" s="35"/>
      <c r="G38" s="35"/>
      <c r="H38" s="47" t="s">
        <v>67</v>
      </c>
      <c r="I38" s="35"/>
      <c r="M38" s="19">
        <v>2017</v>
      </c>
      <c r="N38" s="22" t="str">
        <f>+IF('Performance sheet'!D5="","",'Performance sheet'!D5)</f>
        <v/>
      </c>
      <c r="O38" s="22" t="str">
        <f>+IF('Performance sheet'!E5="","",'Performance sheet'!E5)</f>
        <v/>
      </c>
      <c r="P38" s="22" t="str">
        <f>+IF('Performance sheet'!F5="","",'Performance sheet'!F5)</f>
        <v/>
      </c>
      <c r="Q38" s="22" t="str">
        <f>+IF('Performance sheet'!G5="","",'Performance sheet'!G5)</f>
        <v/>
      </c>
      <c r="R38" s="22" t="str">
        <f>+IF('Performance sheet'!H5="","",'Performance sheet'!H5)</f>
        <v/>
      </c>
      <c r="S38" s="22" t="str">
        <f>+IF('Performance sheet'!I5="","",'Performance sheet'!I5)</f>
        <v/>
      </c>
      <c r="T38" s="22" t="str">
        <f>+IF('Performance sheet'!J5="","",'Performance sheet'!J5)</f>
        <v/>
      </c>
      <c r="U38" s="22" t="str">
        <f>+IF('Performance sheet'!K5="","",'Performance sheet'!K5)</f>
        <v/>
      </c>
      <c r="V38" s="22" t="str">
        <f>+IF('Performance sheet'!L5="","",'Performance sheet'!L5)</f>
        <v/>
      </c>
      <c r="W38" s="22" t="str">
        <f>+IF('Performance sheet'!M5="","",'Performance sheet'!M5)</f>
        <v/>
      </c>
      <c r="X38" s="22" t="str">
        <f>+IF('Performance sheet'!N5="","",'Performance sheet'!N5)</f>
        <v/>
      </c>
      <c r="Y38" s="22" t="str">
        <f>+IF('Performance sheet'!O5="","",'Performance sheet'!O5)</f>
        <v/>
      </c>
      <c r="Z38" s="22" t="str">
        <f>+IF('Performance sheet'!P5="","",'Performance sheet'!P5)</f>
        <v/>
      </c>
    </row>
    <row r="39" spans="2:26">
      <c r="B39" s="47" t="s">
        <v>68</v>
      </c>
      <c r="C39" s="36"/>
      <c r="D39" s="35"/>
      <c r="E39" s="47" t="s">
        <v>68</v>
      </c>
      <c r="F39" s="35"/>
      <c r="G39" s="35"/>
      <c r="H39" s="47" t="s">
        <v>68</v>
      </c>
      <c r="I39" s="35"/>
      <c r="M39" s="20">
        <v>2018</v>
      </c>
      <c r="N39" s="23" t="str">
        <f>+IF('Performance sheet'!D6="","",'Performance sheet'!D6)</f>
        <v/>
      </c>
      <c r="O39" s="23" t="str">
        <f>+IF('Performance sheet'!E6="","",'Performance sheet'!E6)</f>
        <v/>
      </c>
      <c r="P39" s="23" t="str">
        <f>+IF('Performance sheet'!F6="","",'Performance sheet'!F6)</f>
        <v/>
      </c>
      <c r="Q39" s="23" t="str">
        <f>+IF('Performance sheet'!G6="","",'Performance sheet'!G6)</f>
        <v/>
      </c>
      <c r="R39" s="23" t="str">
        <f>+IF('Performance sheet'!H6="","",'Performance sheet'!H6)</f>
        <v/>
      </c>
      <c r="S39" s="23" t="str">
        <f>+IF('Performance sheet'!I6="","",'Performance sheet'!I6)</f>
        <v/>
      </c>
      <c r="T39" s="23" t="str">
        <f>+IF('Performance sheet'!J6="","",'Performance sheet'!J6)</f>
        <v/>
      </c>
      <c r="U39" s="23" t="str">
        <f>+IF('Performance sheet'!K6="","",'Performance sheet'!K6)</f>
        <v/>
      </c>
      <c r="V39" s="23" t="str">
        <f>+IF('Performance sheet'!L6="","",'Performance sheet'!L6)</f>
        <v/>
      </c>
      <c r="W39" s="23" t="str">
        <f>+IF('Performance sheet'!M6="","",'Performance sheet'!M6)</f>
        <v/>
      </c>
      <c r="X39" s="23" t="str">
        <f>+IF('Performance sheet'!N6="","",'Performance sheet'!N6)</f>
        <v/>
      </c>
      <c r="Y39" s="23" t="str">
        <f>+IF('Performance sheet'!O6="","",'Performance sheet'!O6)</f>
        <v/>
      </c>
      <c r="Z39" s="23" t="str">
        <f>+IF('Performance sheet'!P6="","",'Performance sheet'!P6)</f>
        <v/>
      </c>
    </row>
    <row r="40" spans="2:26" ht="15.75" thickBot="1">
      <c r="B40" s="47" t="s">
        <v>69</v>
      </c>
      <c r="C40" s="36"/>
      <c r="D40" s="35"/>
      <c r="E40" s="47" t="s">
        <v>69</v>
      </c>
      <c r="F40" s="35"/>
      <c r="G40" s="35"/>
      <c r="H40" s="47" t="s">
        <v>69</v>
      </c>
      <c r="I40" s="35"/>
      <c r="M40" s="21">
        <v>2019</v>
      </c>
      <c r="N40" s="1" t="str">
        <f>+IF('Performance sheet'!D7="","",'Performance sheet'!D7)</f>
        <v/>
      </c>
      <c r="O40" s="1" t="str">
        <f>+IF('Performance sheet'!E7="","",'Performance sheet'!E7)</f>
        <v/>
      </c>
      <c r="P40" s="1" t="str">
        <f>+IF('Performance sheet'!F7="","",'Performance sheet'!F7)</f>
        <v/>
      </c>
      <c r="Q40" s="1" t="str">
        <f>+IF('Performance sheet'!G7="","",'Performance sheet'!G7)</f>
        <v/>
      </c>
      <c r="R40" s="1" t="str">
        <f>+IF('Performance sheet'!H7="","",'Performance sheet'!H7)</f>
        <v/>
      </c>
      <c r="S40" s="1" t="str">
        <f>+IF('Performance sheet'!I7="","",'Performance sheet'!I7)</f>
        <v/>
      </c>
      <c r="T40" s="1" t="str">
        <f>+IF('Performance sheet'!J7="","",'Performance sheet'!J7)</f>
        <v/>
      </c>
      <c r="U40" s="1" t="str">
        <f>+IF('Performance sheet'!K7="","",'Performance sheet'!K7)</f>
        <v/>
      </c>
      <c r="V40" s="1" t="str">
        <f>+IF('Performance sheet'!L7="","",'Performance sheet'!L7)</f>
        <v/>
      </c>
      <c r="W40" s="1" t="str">
        <f>+IF('Performance sheet'!M7="","",'Performance sheet'!M7)</f>
        <v/>
      </c>
      <c r="X40" s="1" t="str">
        <f>+IF('Performance sheet'!N7="","",'Performance sheet'!N7)</f>
        <v/>
      </c>
      <c r="Y40" s="1" t="str">
        <f>+IF('Performance sheet'!O7="","",'Performance sheet'!O7)</f>
        <v/>
      </c>
      <c r="Z40" s="1" t="str">
        <f>+IF('Performance sheet'!P7="","",'Performance sheet'!P7)</f>
        <v/>
      </c>
    </row>
    <row r="41" spans="2:26" ht="15.75" thickTop="1">
      <c r="B41" s="34"/>
      <c r="C41" s="34"/>
      <c r="D41" s="34"/>
      <c r="E41" s="34"/>
      <c r="F41" s="34"/>
      <c r="G41" s="34"/>
      <c r="H41" s="34"/>
      <c r="I41" s="34"/>
      <c r="M41" s="24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2:26">
      <c r="B42" s="13" t="s">
        <v>63</v>
      </c>
      <c r="C42" s="14" t="s">
        <v>29</v>
      </c>
      <c r="D42" s="34"/>
      <c r="E42" s="13" t="s">
        <v>63</v>
      </c>
      <c r="F42" s="14" t="s">
        <v>30</v>
      </c>
      <c r="G42" s="34"/>
      <c r="H42" s="13" t="s">
        <v>63</v>
      </c>
      <c r="I42" s="14" t="s">
        <v>31</v>
      </c>
      <c r="M42" s="119" t="s">
        <v>28</v>
      </c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2:26" ht="15.75" thickBot="1">
      <c r="B43" s="47" t="s">
        <v>70</v>
      </c>
      <c r="C43" s="36"/>
      <c r="D43" s="35"/>
      <c r="E43" s="47" t="s">
        <v>70</v>
      </c>
      <c r="F43" s="35"/>
      <c r="G43" s="35"/>
      <c r="H43" s="47" t="s">
        <v>70</v>
      </c>
      <c r="I43" s="35"/>
      <c r="M43" s="37" t="s">
        <v>39</v>
      </c>
      <c r="N43" s="37" t="s">
        <v>40</v>
      </c>
      <c r="O43" s="37" t="s">
        <v>41</v>
      </c>
      <c r="P43" s="37" t="s">
        <v>42</v>
      </c>
      <c r="Q43" s="37" t="s">
        <v>43</v>
      </c>
      <c r="R43" s="37" t="s">
        <v>44</v>
      </c>
      <c r="S43" s="37" t="s">
        <v>45</v>
      </c>
      <c r="T43" s="37" t="s">
        <v>46</v>
      </c>
      <c r="U43" s="37" t="s">
        <v>47</v>
      </c>
      <c r="V43" s="37" t="s">
        <v>48</v>
      </c>
      <c r="W43" s="37" t="s">
        <v>49</v>
      </c>
      <c r="X43" s="37" t="s">
        <v>50</v>
      </c>
      <c r="Y43" s="37" t="s">
        <v>51</v>
      </c>
      <c r="Z43" s="37" t="s">
        <v>52</v>
      </c>
    </row>
    <row r="44" spans="2:26" ht="15.75" thickTop="1">
      <c r="B44" s="47" t="s">
        <v>71</v>
      </c>
      <c r="C44" s="36"/>
      <c r="D44" s="35"/>
      <c r="E44" s="47" t="s">
        <v>71</v>
      </c>
      <c r="F44" s="35"/>
      <c r="G44" s="35"/>
      <c r="H44" s="47" t="s">
        <v>71</v>
      </c>
      <c r="I44" s="35"/>
      <c r="M44" s="38">
        <v>2017</v>
      </c>
      <c r="N44" s="22" t="str">
        <f>+IF('Performance sheet'!S5="","",'Performance sheet'!S5)</f>
        <v/>
      </c>
      <c r="O44" s="39" t="str">
        <f>+IF('Performance sheet'!T5="","",'Performance sheet'!T5)</f>
        <v/>
      </c>
      <c r="P44" s="39" t="str">
        <f>+IF('Performance sheet'!U5="","",'Performance sheet'!U5)</f>
        <v/>
      </c>
      <c r="Q44" s="39" t="str">
        <f>+IF('Performance sheet'!V5="","",'Performance sheet'!V5)</f>
        <v/>
      </c>
      <c r="R44" s="39" t="str">
        <f>+IF('Performance sheet'!W5="","",'Performance sheet'!W5)</f>
        <v/>
      </c>
      <c r="S44" s="39" t="str">
        <f>+IF('Performance sheet'!X5="","",'Performance sheet'!X5)</f>
        <v/>
      </c>
      <c r="T44" s="39" t="str">
        <f>+IF('Performance sheet'!Y5="","",'Performance sheet'!Y5)</f>
        <v/>
      </c>
      <c r="U44" s="39" t="str">
        <f>+IF('Performance sheet'!Z5="","",'Performance sheet'!Z5)</f>
        <v/>
      </c>
      <c r="V44" s="39" t="str">
        <f>+IF('Performance sheet'!AA5="","",'Performance sheet'!AA5)</f>
        <v/>
      </c>
      <c r="W44" s="39" t="str">
        <f>+IF('Performance sheet'!AB5="","",'Performance sheet'!AB5)</f>
        <v/>
      </c>
      <c r="X44" s="39" t="str">
        <f>+IF('Performance sheet'!AC5="","",'Performance sheet'!AC5)</f>
        <v/>
      </c>
      <c r="Y44" s="39" t="str">
        <f>+IF('Performance sheet'!AD5="","",'Performance sheet'!AD5)</f>
        <v/>
      </c>
      <c r="Z44" s="39" t="str">
        <f>+IF('Performance sheet'!AE5="","",'Performance sheet'!AE5)</f>
        <v/>
      </c>
    </row>
    <row r="45" spans="2:26">
      <c r="B45" s="47" t="s">
        <v>72</v>
      </c>
      <c r="C45" s="36"/>
      <c r="D45" s="35"/>
      <c r="E45" s="47" t="s">
        <v>72</v>
      </c>
      <c r="F45" s="35"/>
      <c r="G45" s="35"/>
      <c r="H45" s="47" t="s">
        <v>72</v>
      </c>
      <c r="I45" s="35"/>
      <c r="M45" s="40">
        <v>2018</v>
      </c>
      <c r="N45" s="41" t="str">
        <f>+IF('Performance sheet'!S6="","",'Performance sheet'!S6)</f>
        <v/>
      </c>
      <c r="O45" s="41" t="str">
        <f>+IF('Performance sheet'!T6="","",'Performance sheet'!T6)</f>
        <v/>
      </c>
      <c r="P45" s="41" t="str">
        <f>+IF('Performance sheet'!U6="","",'Performance sheet'!U6)</f>
        <v/>
      </c>
      <c r="Q45" s="41" t="str">
        <f>+IF('Performance sheet'!V6="","",'Performance sheet'!V6)</f>
        <v/>
      </c>
      <c r="R45" s="41" t="str">
        <f>+IF('Performance sheet'!W6="","",'Performance sheet'!W6)</f>
        <v/>
      </c>
      <c r="S45" s="41" t="str">
        <f>+IF('Performance sheet'!X6="","",'Performance sheet'!X6)</f>
        <v/>
      </c>
      <c r="T45" s="41" t="str">
        <f>+IF('Performance sheet'!Y6="","",'Performance sheet'!Y6)</f>
        <v/>
      </c>
      <c r="U45" s="41" t="str">
        <f>+IF('Performance sheet'!Z6="","",'Performance sheet'!Z6)</f>
        <v/>
      </c>
      <c r="V45" s="41" t="str">
        <f>+IF('Performance sheet'!AA6="","",'Performance sheet'!AA6)</f>
        <v/>
      </c>
      <c r="W45" s="41" t="str">
        <f>+IF('Performance sheet'!AB6="","",'Performance sheet'!AB6)</f>
        <v/>
      </c>
      <c r="X45" s="41" t="str">
        <f>+IF('Performance sheet'!AC6="","",'Performance sheet'!AC6)</f>
        <v/>
      </c>
      <c r="Y45" s="41" t="str">
        <f>+IF('Performance sheet'!AD6="","",'Performance sheet'!AD6)</f>
        <v/>
      </c>
      <c r="Z45" s="41" t="str">
        <f>+IF('Performance sheet'!AE6="","",'Performance sheet'!AE6)</f>
        <v/>
      </c>
    </row>
    <row r="46" spans="2:26" ht="15.75" thickBot="1">
      <c r="B46" s="47" t="s">
        <v>73</v>
      </c>
      <c r="C46" s="36"/>
      <c r="D46" s="35"/>
      <c r="E46" s="47" t="s">
        <v>73</v>
      </c>
      <c r="F46" s="35"/>
      <c r="G46" s="35"/>
      <c r="H46" s="47" t="s">
        <v>73</v>
      </c>
      <c r="I46" s="35"/>
      <c r="M46" s="42">
        <v>2019</v>
      </c>
      <c r="N46" s="43" t="str">
        <f>+IF('Performance sheet'!S7="","",'Performance sheet'!S7)</f>
        <v/>
      </c>
      <c r="O46" s="43" t="str">
        <f>+IF('Performance sheet'!T7="","",'Performance sheet'!T7)</f>
        <v/>
      </c>
      <c r="P46" s="43" t="str">
        <f>+IF('Performance sheet'!U7="","",'Performance sheet'!U7)</f>
        <v/>
      </c>
      <c r="Q46" s="43" t="str">
        <f>+IF('Performance sheet'!V7="","",'Performance sheet'!V7)</f>
        <v/>
      </c>
      <c r="R46" s="43" t="str">
        <f>+IF('Performance sheet'!W7="","",'Performance sheet'!W7)</f>
        <v/>
      </c>
      <c r="S46" s="43" t="str">
        <f>+IF('Performance sheet'!X7="","",'Performance sheet'!X7)</f>
        <v/>
      </c>
      <c r="T46" s="43" t="str">
        <f>+IF('Performance sheet'!Y7="","",'Performance sheet'!Y7)</f>
        <v/>
      </c>
      <c r="U46" s="43" t="str">
        <f>+IF('Performance sheet'!Z7="","",'Performance sheet'!Z7)</f>
        <v/>
      </c>
      <c r="V46" s="43" t="str">
        <f>+IF('Performance sheet'!AA7="","",'Performance sheet'!AA7)</f>
        <v/>
      </c>
      <c r="W46" s="43" t="str">
        <f>+IF('Performance sheet'!AB7="","",'Performance sheet'!AB7)</f>
        <v/>
      </c>
      <c r="X46" s="43" t="str">
        <f>+IF('Performance sheet'!AC7="","",'Performance sheet'!AC7)</f>
        <v/>
      </c>
      <c r="Y46" s="43" t="str">
        <f>+IF('Performance sheet'!AD7="","",'Performance sheet'!AD7)</f>
        <v/>
      </c>
      <c r="Z46" s="43" t="str">
        <f>+IF('Performance sheet'!AE7="","",'Performance sheet'!AE7)</f>
        <v/>
      </c>
    </row>
    <row r="47" spans="2:26" ht="3" customHeight="1" thickTop="1"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spans="2:26">
      <c r="B48" s="48" t="s">
        <v>65</v>
      </c>
    </row>
    <row r="49" spans="2:26">
      <c r="B49" s="118" t="s">
        <v>178</v>
      </c>
      <c r="C49" s="118"/>
      <c r="D49" s="118"/>
      <c r="E49" s="118"/>
      <c r="F49" s="118"/>
      <c r="G49" s="118"/>
      <c r="H49" s="118"/>
      <c r="I49" s="118"/>
      <c r="M49" s="117" t="s">
        <v>179</v>
      </c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</row>
    <row r="74" spans="26:26">
      <c r="Z74" t="s">
        <v>127</v>
      </c>
    </row>
  </sheetData>
  <mergeCells count="10">
    <mergeCell ref="M10:Z10"/>
    <mergeCell ref="B2:I2"/>
    <mergeCell ref="B49:I49"/>
    <mergeCell ref="M49:Z49"/>
    <mergeCell ref="M36:Z36"/>
    <mergeCell ref="M42:Z42"/>
    <mergeCell ref="M2:Z2"/>
    <mergeCell ref="M4:Z4"/>
    <mergeCell ref="B22:I22"/>
    <mergeCell ref="M35:Z35"/>
  </mergeCells>
  <conditionalFormatting sqref="N6:Z9">
    <cfRule type="cellIs" dxfId="113" priority="21" stopIfTrue="1" operator="equal">
      <formula>"n.d."</formula>
    </cfRule>
    <cfRule type="cellIs" dxfId="112" priority="22" stopIfTrue="1" operator="equal">
      <formula>0</formula>
    </cfRule>
    <cfRule type="cellIs" dxfId="111" priority="23" stopIfTrue="1" operator="greaterThan">
      <formula>0</formula>
    </cfRule>
    <cfRule type="cellIs" dxfId="110" priority="24" stopIfTrue="1" operator="lessThan">
      <formula>0</formula>
    </cfRule>
  </conditionalFormatting>
  <conditionalFormatting sqref="N39:Z41 O38:Z38">
    <cfRule type="cellIs" dxfId="109" priority="17" stopIfTrue="1" operator="equal">
      <formula>"n.d."</formula>
    </cfRule>
    <cfRule type="cellIs" dxfId="108" priority="18" stopIfTrue="1" operator="equal">
      <formula>0</formula>
    </cfRule>
    <cfRule type="cellIs" dxfId="107" priority="19" stopIfTrue="1" operator="greaterThan">
      <formula>0</formula>
    </cfRule>
    <cfRule type="cellIs" dxfId="106" priority="20" stopIfTrue="1" operator="lessThan">
      <formula>0</formula>
    </cfRule>
  </conditionalFormatting>
  <conditionalFormatting sqref="N45:Z46 O44:Z44">
    <cfRule type="cellIs" dxfId="105" priority="13" stopIfTrue="1" operator="equal">
      <formula>"n.d."</formula>
    </cfRule>
    <cfRule type="cellIs" dxfId="104" priority="14" stopIfTrue="1" operator="equal">
      <formula>0</formula>
    </cfRule>
    <cfRule type="cellIs" dxfId="103" priority="15" stopIfTrue="1" operator="greaterThan">
      <formula>0</formula>
    </cfRule>
    <cfRule type="cellIs" dxfId="102" priority="16" stopIfTrue="1" operator="lessThan">
      <formula>0</formula>
    </cfRule>
  </conditionalFormatting>
  <conditionalFormatting sqref="N38">
    <cfRule type="cellIs" dxfId="101" priority="5" stopIfTrue="1" operator="equal">
      <formula>"n.d."</formula>
    </cfRule>
    <cfRule type="cellIs" dxfId="100" priority="6" stopIfTrue="1" operator="equal">
      <formula>0</formula>
    </cfRule>
    <cfRule type="cellIs" dxfId="99" priority="7" stopIfTrue="1" operator="greaterThan">
      <formula>0</formula>
    </cfRule>
    <cfRule type="cellIs" dxfId="98" priority="8" stopIfTrue="1" operator="lessThan">
      <formula>0</formula>
    </cfRule>
  </conditionalFormatting>
  <conditionalFormatting sqref="N44">
    <cfRule type="cellIs" dxfId="97" priority="1" stopIfTrue="1" operator="equal">
      <formula>"n.d."</formula>
    </cfRule>
    <cfRule type="cellIs" dxfId="96" priority="2" stopIfTrue="1" operator="equal">
      <formula>0</formula>
    </cfRule>
    <cfRule type="cellIs" dxfId="95" priority="3" stopIfTrue="1" operator="greaterThan">
      <formula>0</formula>
    </cfRule>
    <cfRule type="cellIs" dxfId="94" priority="4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C2:Y54"/>
  <sheetViews>
    <sheetView zoomScale="80" zoomScaleNormal="80" workbookViewId="0">
      <selection activeCell="L17" sqref="L17"/>
    </sheetView>
  </sheetViews>
  <sheetFormatPr defaultRowHeight="15"/>
  <cols>
    <col min="1" max="2" width="9.140625" style="33"/>
    <col min="3" max="3" width="19.85546875" style="33" bestFit="1" customWidth="1"/>
    <col min="4" max="4" width="12.5703125" style="33" bestFit="1" customWidth="1"/>
    <col min="5" max="5" width="7.42578125" style="33" bestFit="1" customWidth="1"/>
    <col min="6" max="6" width="6.85546875" style="33" customWidth="1"/>
    <col min="7" max="7" width="22.140625" style="33" bestFit="1" customWidth="1"/>
    <col min="8" max="8" width="12.5703125" style="33" bestFit="1" customWidth="1"/>
    <col min="9" max="9" width="20.7109375" style="33" customWidth="1"/>
    <col min="10" max="10" width="4.7109375" style="33" customWidth="1"/>
    <col min="11" max="25" width="9.28515625" style="33" customWidth="1"/>
    <col min="26" max="26" width="4.7109375" style="33" customWidth="1"/>
    <col min="27" max="36" width="9.140625" style="33" customWidth="1"/>
    <col min="37" max="37" width="8.28515625" style="33" customWidth="1"/>
    <col min="38" max="52" width="9.140625" style="33" customWidth="1"/>
    <col min="53" max="16384" width="9.140625" style="33"/>
  </cols>
  <sheetData>
    <row r="2" spans="3:25" ht="15" customHeight="1">
      <c r="C2" s="123" t="s">
        <v>38</v>
      </c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</row>
    <row r="3" spans="3:25"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</row>
    <row r="5" spans="3:25">
      <c r="C5" s="121" t="s">
        <v>74</v>
      </c>
      <c r="D5" s="122"/>
      <c r="E5" s="122"/>
      <c r="F5" s="122"/>
      <c r="G5" s="122"/>
      <c r="H5" s="122"/>
      <c r="I5" s="122"/>
      <c r="K5" s="121" t="s">
        <v>98</v>
      </c>
      <c r="L5" s="122"/>
      <c r="M5" s="122"/>
      <c r="N5" s="122"/>
      <c r="O5" s="122"/>
      <c r="P5" s="122"/>
      <c r="Q5" s="122"/>
      <c r="S5" s="121" t="s">
        <v>99</v>
      </c>
      <c r="T5" s="122"/>
      <c r="U5" s="122"/>
      <c r="V5" s="122"/>
      <c r="W5" s="122"/>
      <c r="X5" s="122"/>
      <c r="Y5" s="122"/>
    </row>
    <row r="7" spans="3:25">
      <c r="C7" s="49" t="s">
        <v>75</v>
      </c>
      <c r="D7" s="8"/>
      <c r="G7" s="49" t="s">
        <v>101</v>
      </c>
      <c r="H7" s="65"/>
    </row>
    <row r="8" spans="3:25">
      <c r="C8" s="49" t="s">
        <v>115</v>
      </c>
      <c r="D8" s="65"/>
      <c r="G8" s="49" t="s">
        <v>100</v>
      </c>
      <c r="H8" s="65"/>
    </row>
    <row r="10" spans="3:25">
      <c r="C10" s="49" t="s">
        <v>76</v>
      </c>
      <c r="D10" s="6"/>
      <c r="G10" s="49" t="s">
        <v>102</v>
      </c>
      <c r="H10" s="7"/>
    </row>
    <row r="11" spans="3:25">
      <c r="C11" s="49" t="s">
        <v>77</v>
      </c>
      <c r="D11" s="6"/>
      <c r="G11" s="49" t="s">
        <v>103</v>
      </c>
      <c r="H11" s="7"/>
    </row>
    <row r="12" spans="3:25">
      <c r="C12" s="49" t="s">
        <v>78</v>
      </c>
      <c r="D12" s="6"/>
      <c r="G12" s="49" t="s">
        <v>104</v>
      </c>
      <c r="H12" s="7"/>
    </row>
    <row r="13" spans="3:25">
      <c r="C13" s="49"/>
    </row>
    <row r="14" spans="3:25">
      <c r="C14" s="49" t="s">
        <v>79</v>
      </c>
      <c r="D14" s="6"/>
      <c r="G14" s="49" t="s">
        <v>105</v>
      </c>
      <c r="H14" s="65"/>
    </row>
    <row r="15" spans="3:25">
      <c r="C15" s="49" t="s">
        <v>81</v>
      </c>
      <c r="D15" s="6"/>
      <c r="G15" s="49" t="s">
        <v>106</v>
      </c>
      <c r="H15" s="65"/>
    </row>
    <row r="16" spans="3:25">
      <c r="C16" s="49" t="s">
        <v>80</v>
      </c>
      <c r="D16" s="6"/>
      <c r="G16" s="49" t="s">
        <v>107</v>
      </c>
      <c r="H16" s="65"/>
    </row>
    <row r="17" spans="3:9">
      <c r="C17" s="49"/>
    </row>
    <row r="18" spans="3:9">
      <c r="C18" s="49" t="s">
        <v>82</v>
      </c>
      <c r="D18" s="79"/>
    </row>
    <row r="20" spans="3:9">
      <c r="C20" s="15" t="s">
        <v>32</v>
      </c>
      <c r="D20" s="17"/>
      <c r="G20" s="120" t="s">
        <v>108</v>
      </c>
      <c r="H20" s="120"/>
    </row>
    <row r="21" spans="3:9">
      <c r="C21" s="15" t="s">
        <v>33</v>
      </c>
      <c r="D21" s="17"/>
      <c r="G21" s="49" t="s">
        <v>3</v>
      </c>
      <c r="H21" s="58" t="s">
        <v>111</v>
      </c>
    </row>
    <row r="22" spans="3:9">
      <c r="C22" s="15" t="s">
        <v>34</v>
      </c>
      <c r="D22" s="26"/>
      <c r="G22" s="49" t="s">
        <v>109</v>
      </c>
      <c r="H22" s="58" t="s">
        <v>112</v>
      </c>
    </row>
    <row r="23" spans="3:9">
      <c r="C23" s="15" t="s">
        <v>35</v>
      </c>
      <c r="D23" s="26"/>
    </row>
    <row r="24" spans="3:9">
      <c r="C24" s="15" t="s">
        <v>92</v>
      </c>
      <c r="D24" s="6"/>
      <c r="G24" s="120" t="s">
        <v>110</v>
      </c>
      <c r="H24" s="120"/>
    </row>
    <row r="25" spans="3:9">
      <c r="C25" s="15" t="s">
        <v>36</v>
      </c>
      <c r="D25" s="17"/>
      <c r="G25" s="49" t="s">
        <v>3</v>
      </c>
      <c r="H25" s="58" t="s">
        <v>113</v>
      </c>
    </row>
    <row r="26" spans="3:9">
      <c r="C26" s="15" t="s">
        <v>37</v>
      </c>
      <c r="D26" s="17"/>
      <c r="G26" s="49" t="s">
        <v>109</v>
      </c>
      <c r="H26" s="58" t="s">
        <v>114</v>
      </c>
    </row>
    <row r="28" spans="3:9">
      <c r="C28"/>
      <c r="D28"/>
      <c r="E28"/>
      <c r="F28"/>
      <c r="G28"/>
      <c r="H28"/>
      <c r="I28"/>
    </row>
    <row r="29" spans="3:9">
      <c r="C29"/>
      <c r="D29"/>
      <c r="E29"/>
      <c r="F29"/>
      <c r="G29"/>
      <c r="H29"/>
      <c r="I29"/>
    </row>
    <row r="30" spans="3:9">
      <c r="C30"/>
      <c r="D30"/>
      <c r="E30"/>
      <c r="F30"/>
      <c r="G30"/>
      <c r="H30"/>
      <c r="I30"/>
    </row>
    <row r="31" spans="3:9">
      <c r="C31"/>
      <c r="D31"/>
      <c r="E31"/>
      <c r="F31"/>
      <c r="G31"/>
      <c r="H31"/>
      <c r="I31"/>
    </row>
    <row r="32" spans="3:9">
      <c r="C32"/>
      <c r="D32"/>
      <c r="E32"/>
      <c r="F32"/>
      <c r="G32"/>
      <c r="H32"/>
      <c r="I32"/>
    </row>
    <row r="33" spans="3:9">
      <c r="C33"/>
      <c r="D33"/>
      <c r="E33"/>
      <c r="F33"/>
      <c r="G33"/>
      <c r="H33"/>
      <c r="I33"/>
    </row>
    <row r="34" spans="3:9">
      <c r="C34"/>
      <c r="D34"/>
      <c r="E34"/>
      <c r="F34"/>
      <c r="G34"/>
      <c r="H34"/>
      <c r="I34"/>
    </row>
    <row r="35" spans="3:9">
      <c r="C35"/>
      <c r="D35"/>
      <c r="E35"/>
      <c r="F35"/>
      <c r="G35"/>
      <c r="H35"/>
      <c r="I35"/>
    </row>
    <row r="36" spans="3:9">
      <c r="C36"/>
      <c r="D36"/>
      <c r="E36"/>
      <c r="F36"/>
      <c r="G36"/>
      <c r="H36"/>
      <c r="I36"/>
    </row>
    <row r="37" spans="3:9">
      <c r="C37"/>
      <c r="D37"/>
      <c r="E37"/>
      <c r="F37"/>
      <c r="G37"/>
      <c r="H37"/>
      <c r="I37"/>
    </row>
    <row r="38" spans="3:9">
      <c r="C38"/>
      <c r="D38"/>
      <c r="E38"/>
      <c r="F38"/>
      <c r="G38"/>
      <c r="H38"/>
      <c r="I38"/>
    </row>
    <row r="39" spans="3:9">
      <c r="C39"/>
      <c r="D39"/>
      <c r="E39"/>
      <c r="F39"/>
      <c r="G39"/>
      <c r="H39"/>
      <c r="I39"/>
    </row>
    <row r="40" spans="3:9">
      <c r="C40"/>
      <c r="D40"/>
      <c r="E40"/>
      <c r="F40"/>
      <c r="G40"/>
      <c r="H40"/>
      <c r="I40"/>
    </row>
    <row r="41" spans="3:9">
      <c r="C41"/>
      <c r="D41"/>
      <c r="E41"/>
      <c r="F41"/>
      <c r="G41"/>
      <c r="H41"/>
      <c r="I41"/>
    </row>
    <row r="42" spans="3:9">
      <c r="C42"/>
      <c r="D42"/>
      <c r="E42"/>
      <c r="F42"/>
      <c r="G42"/>
      <c r="H42"/>
      <c r="I42"/>
    </row>
    <row r="43" spans="3:9">
      <c r="C43"/>
      <c r="D43"/>
      <c r="E43"/>
      <c r="F43"/>
      <c r="G43"/>
      <c r="H43"/>
      <c r="I43"/>
    </row>
    <row r="44" spans="3:9">
      <c r="C44"/>
      <c r="D44"/>
      <c r="E44"/>
      <c r="F44"/>
      <c r="G44"/>
      <c r="H44"/>
      <c r="I44"/>
    </row>
    <row r="48" spans="3:9" ht="15.75" customHeight="1"/>
    <row r="49" spans="11:24" ht="15.75" customHeight="1"/>
    <row r="50" spans="11:24" ht="15.75" customHeight="1"/>
    <row r="51" spans="11:24" ht="15.75" customHeight="1"/>
    <row r="53" spans="11:24">
      <c r="K53" s="31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</row>
    <row r="54" spans="11:24">
      <c r="K54" s="31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</row>
  </sheetData>
  <mergeCells count="6">
    <mergeCell ref="G24:H24"/>
    <mergeCell ref="C5:I5"/>
    <mergeCell ref="K5:Q5"/>
    <mergeCell ref="S5:Y5"/>
    <mergeCell ref="C2:Y3"/>
    <mergeCell ref="G20:H20"/>
  </mergeCells>
  <conditionalFormatting sqref="L53:X54">
    <cfRule type="cellIs" dxfId="93" priority="1" stopIfTrue="1" operator="equal">
      <formula>"n.d."</formula>
    </cfRule>
    <cfRule type="cellIs" dxfId="92" priority="2" stopIfTrue="1" operator="equal">
      <formula>0</formula>
    </cfRule>
    <cfRule type="cellIs" dxfId="91" priority="3" stopIfTrue="1" operator="greaterThan">
      <formula>0</formula>
    </cfRule>
    <cfRule type="cellIs" dxfId="90" priority="4" stopIfTrue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C3:Y51"/>
  <sheetViews>
    <sheetView workbookViewId="0">
      <selection activeCell="C4" sqref="C4"/>
    </sheetView>
  </sheetViews>
  <sheetFormatPr defaultRowHeight="15"/>
  <cols>
    <col min="3" max="4" width="13" customWidth="1"/>
    <col min="6" max="7" width="13" style="77" customWidth="1"/>
    <col min="9" max="9" width="10.140625" style="77" bestFit="1" customWidth="1"/>
    <col min="10" max="10" width="12.5703125" style="77" customWidth="1"/>
    <col min="11" max="11" width="9.140625" style="77"/>
    <col min="12" max="12" width="10" style="77" customWidth="1"/>
    <col min="13" max="13" width="9.140625" style="77"/>
  </cols>
  <sheetData>
    <row r="3" spans="3:25" ht="15" customHeight="1">
      <c r="C3" s="121" t="s">
        <v>180</v>
      </c>
      <c r="D3" s="121"/>
      <c r="E3" s="77"/>
      <c r="F3" s="121" t="s">
        <v>136</v>
      </c>
      <c r="G3" s="121"/>
      <c r="H3" s="77"/>
      <c r="I3" s="121" t="s">
        <v>137</v>
      </c>
      <c r="J3" s="121"/>
      <c r="L3" s="121" t="s">
        <v>129</v>
      </c>
      <c r="M3" s="121"/>
      <c r="N3" s="77"/>
      <c r="O3" s="121" t="s">
        <v>130</v>
      </c>
      <c r="P3" s="121"/>
      <c r="Q3" s="121"/>
      <c r="R3" s="121"/>
      <c r="S3" s="121"/>
      <c r="T3" s="121"/>
      <c r="U3" s="121"/>
      <c r="V3" s="121"/>
      <c r="W3" s="121"/>
      <c r="X3" s="121"/>
      <c r="Y3" s="121"/>
    </row>
    <row r="4" spans="3:25" ht="8.25" customHeight="1">
      <c r="E4" s="77"/>
      <c r="H4" s="77"/>
      <c r="N4" s="77"/>
    </row>
    <row r="5" spans="3:25">
      <c r="D5" s="77"/>
      <c r="I5" s="84">
        <v>2017</v>
      </c>
      <c r="J5" s="82">
        <f t="array" ref="J5">+SUMPRODUCT(+IF(RIGHT($C$6:$C$50,2)=RIGHT(I5,2),1,0),$D$6:$D$50)</f>
        <v>0</v>
      </c>
      <c r="L5" t="s">
        <v>132</v>
      </c>
      <c r="M5" s="82">
        <v>5000000</v>
      </c>
    </row>
    <row r="6" spans="3:25">
      <c r="C6" s="77"/>
      <c r="D6" s="77"/>
      <c r="I6" s="84">
        <v>2018</v>
      </c>
      <c r="J6" s="82">
        <f t="array" ref="J6">+SUMPRODUCT(+IF(RIGHT($C$6:$C$50,2)=RIGHT(I6,2),1,0),$D$6:$D$50)</f>
        <v>0</v>
      </c>
      <c r="L6" s="83" t="s">
        <v>133</v>
      </c>
      <c r="M6" s="82">
        <v>-500000</v>
      </c>
    </row>
    <row r="7" spans="3:25">
      <c r="C7" s="77"/>
      <c r="D7" s="77"/>
      <c r="I7" s="84">
        <v>2019</v>
      </c>
      <c r="J7" s="82">
        <f t="array" ref="J7">+SUMPRODUCT(+IF(RIGHT($C$6:$C$50,2)=RIGHT(I7,2),1,0),$D$6:$D$50)</f>
        <v>0</v>
      </c>
      <c r="L7" s="83" t="s">
        <v>134</v>
      </c>
      <c r="M7" s="82">
        <v>-500000</v>
      </c>
    </row>
    <row r="8" spans="3:25">
      <c r="C8" s="77"/>
      <c r="D8" s="77"/>
      <c r="L8" t="s">
        <v>135</v>
      </c>
      <c r="M8" s="80">
        <v>-500000</v>
      </c>
    </row>
    <row r="9" spans="3:25">
      <c r="C9" s="77"/>
      <c r="D9" s="80"/>
      <c r="G9" s="80"/>
    </row>
    <row r="10" spans="3:25">
      <c r="C10" s="81"/>
      <c r="D10" s="80"/>
      <c r="F10" s="81"/>
      <c r="G10" s="80"/>
    </row>
    <row r="11" spans="3:25">
      <c r="C11" s="77"/>
      <c r="D11" s="77"/>
    </row>
    <row r="12" spans="3:25">
      <c r="C12" s="77"/>
      <c r="D12" s="80"/>
      <c r="G12" s="80"/>
    </row>
    <row r="13" spans="3:25">
      <c r="C13" s="81"/>
      <c r="D13" s="80"/>
      <c r="F13" s="81"/>
      <c r="G13" s="80"/>
    </row>
    <row r="14" spans="3:25">
      <c r="C14" s="81"/>
      <c r="D14" s="80"/>
      <c r="F14" s="81"/>
      <c r="G14" s="80"/>
    </row>
    <row r="15" spans="3:25">
      <c r="C15" s="81"/>
      <c r="D15" s="80"/>
      <c r="F15" s="81"/>
      <c r="G15" s="80"/>
    </row>
    <row r="16" spans="3:25">
      <c r="C16" s="77"/>
      <c r="D16" s="80"/>
      <c r="G16" s="80"/>
    </row>
    <row r="17" spans="3:25">
      <c r="C17" s="77"/>
      <c r="D17" s="80"/>
      <c r="G17" s="80"/>
    </row>
    <row r="18" spans="3:25">
      <c r="C18" s="77"/>
      <c r="D18" s="80"/>
      <c r="G18" s="80"/>
    </row>
    <row r="19" spans="3:25">
      <c r="C19" s="77"/>
      <c r="D19" s="80"/>
      <c r="G19" s="80"/>
    </row>
    <row r="20" spans="3:25">
      <c r="C20" s="77"/>
      <c r="D20" s="80"/>
      <c r="G20" s="80"/>
    </row>
    <row r="21" spans="3:25">
      <c r="C21" s="77"/>
      <c r="D21" s="80"/>
      <c r="G21" s="80"/>
    </row>
    <row r="22" spans="3:25">
      <c r="C22" s="81"/>
      <c r="D22" s="80"/>
      <c r="F22" s="81"/>
      <c r="G22" s="80"/>
    </row>
    <row r="23" spans="3:25">
      <c r="C23" s="77"/>
      <c r="D23" s="80"/>
      <c r="G23" s="80"/>
    </row>
    <row r="24" spans="3:25">
      <c r="C24" s="77"/>
      <c r="D24" s="80"/>
      <c r="G24" s="80"/>
    </row>
    <row r="25" spans="3:25">
      <c r="C25" s="81"/>
      <c r="D25" s="77"/>
      <c r="F25" s="81"/>
    </row>
    <row r="26" spans="3:25">
      <c r="C26" s="81"/>
      <c r="D26" s="77"/>
      <c r="F26" s="81"/>
    </row>
    <row r="27" spans="3:25">
      <c r="O27" s="121" t="s">
        <v>131</v>
      </c>
      <c r="P27" s="121"/>
      <c r="Q27" s="121"/>
      <c r="R27" s="121"/>
      <c r="S27" s="121"/>
      <c r="T27" s="121"/>
      <c r="U27" s="121"/>
      <c r="V27" s="121"/>
      <c r="W27" s="121"/>
      <c r="X27" s="121"/>
      <c r="Y27" s="121"/>
    </row>
    <row r="51" spans="25:25">
      <c r="Y51" s="78" t="s">
        <v>138</v>
      </c>
    </row>
  </sheetData>
  <mergeCells count="6">
    <mergeCell ref="C3:D3"/>
    <mergeCell ref="L3:M3"/>
    <mergeCell ref="O3:Y3"/>
    <mergeCell ref="O27:Y27"/>
    <mergeCell ref="F3:G3"/>
    <mergeCell ref="I3:J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C3:W51"/>
  <sheetViews>
    <sheetView workbookViewId="0">
      <selection activeCell="G32" sqref="G32"/>
    </sheetView>
  </sheetViews>
  <sheetFormatPr defaultRowHeight="15"/>
  <cols>
    <col min="1" max="2" width="9.140625" style="77"/>
    <col min="3" max="3" width="22.7109375" style="77" customWidth="1"/>
    <col min="4" max="11" width="9.140625" style="77" customWidth="1"/>
    <col min="12" max="16384" width="9.140625" style="77"/>
  </cols>
  <sheetData>
    <row r="3" spans="3:23" ht="15" customHeight="1">
      <c r="C3" s="124" t="s">
        <v>181</v>
      </c>
      <c r="D3" s="124"/>
      <c r="E3" s="124"/>
      <c r="F3" s="124"/>
      <c r="G3" s="124"/>
      <c r="H3" s="124"/>
      <c r="I3" s="124"/>
      <c r="J3" s="124"/>
      <c r="K3" s="12"/>
      <c r="L3" s="12"/>
      <c r="M3" s="124" t="s">
        <v>139</v>
      </c>
      <c r="N3" s="124"/>
      <c r="O3" s="124"/>
      <c r="P3" s="124"/>
      <c r="Q3" s="124"/>
      <c r="R3" s="124"/>
      <c r="S3" s="124"/>
      <c r="T3" s="124"/>
      <c r="U3" s="124"/>
      <c r="V3" s="124"/>
      <c r="W3" s="124"/>
    </row>
    <row r="4" spans="3:23"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</row>
    <row r="5" spans="3:23"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</row>
    <row r="6" spans="3:23">
      <c r="C6" s="12"/>
      <c r="D6" s="12"/>
      <c r="E6" s="126" t="s">
        <v>140</v>
      </c>
      <c r="F6" s="126"/>
      <c r="G6" s="126"/>
      <c r="H6" s="126"/>
      <c r="I6" s="126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</row>
    <row r="7" spans="3:23">
      <c r="C7" s="12"/>
      <c r="D7" s="85" t="s">
        <v>141</v>
      </c>
      <c r="E7" s="85" t="s">
        <v>142</v>
      </c>
      <c r="F7" s="85" t="s">
        <v>143</v>
      </c>
      <c r="G7" s="85" t="s">
        <v>144</v>
      </c>
      <c r="H7" s="85" t="s">
        <v>145</v>
      </c>
      <c r="I7" s="85" t="s">
        <v>146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3:23">
      <c r="C8" s="12"/>
      <c r="D8" s="86">
        <v>0.01</v>
      </c>
      <c r="E8" s="87"/>
      <c r="F8" s="87"/>
      <c r="G8" s="87"/>
      <c r="H8" s="87"/>
      <c r="I8" s="87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9" spans="3:23">
      <c r="C9" s="12"/>
      <c r="D9" s="86">
        <v>0.05</v>
      </c>
      <c r="E9" s="87"/>
      <c r="F9" s="87"/>
      <c r="G9" s="87"/>
      <c r="H9" s="87"/>
      <c r="I9" s="87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3:23"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</row>
    <row r="11" spans="3:23"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</row>
    <row r="12" spans="3:23">
      <c r="C12" s="124" t="s">
        <v>182</v>
      </c>
      <c r="D12" s="124"/>
      <c r="E12" s="124"/>
      <c r="F12" s="124"/>
      <c r="G12" s="124"/>
      <c r="H12" s="124"/>
      <c r="I12" s="124"/>
      <c r="J12" s="124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</row>
    <row r="13" spans="3:23">
      <c r="C13" s="12"/>
      <c r="D13" s="88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3:23">
      <c r="C14" s="12"/>
      <c r="D14" s="88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3:23">
      <c r="C15" s="12"/>
      <c r="D15" s="12"/>
      <c r="E15" s="126" t="s">
        <v>140</v>
      </c>
      <c r="F15" s="126"/>
      <c r="G15" s="126"/>
      <c r="H15" s="126"/>
      <c r="I15" s="126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3:23">
      <c r="C16" s="12"/>
      <c r="D16" s="85" t="s">
        <v>141</v>
      </c>
      <c r="E16" s="85" t="s">
        <v>142</v>
      </c>
      <c r="F16" s="85" t="s">
        <v>143</v>
      </c>
      <c r="G16" s="85" t="s">
        <v>144</v>
      </c>
      <c r="H16" s="85" t="s">
        <v>145</v>
      </c>
      <c r="I16" s="85" t="s">
        <v>146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3:23">
      <c r="C17" s="12"/>
      <c r="D17" s="86">
        <v>0.01</v>
      </c>
      <c r="E17" s="87"/>
      <c r="F17" s="87"/>
      <c r="G17" s="87"/>
      <c r="H17" s="87"/>
      <c r="I17" s="87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3:23">
      <c r="C18" s="12"/>
      <c r="D18" s="86">
        <v>0.05</v>
      </c>
      <c r="E18" s="87"/>
      <c r="F18" s="87"/>
      <c r="G18" s="87"/>
      <c r="H18" s="87"/>
      <c r="I18" s="87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3:23"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3:23"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3:23">
      <c r="C21" s="124" t="s">
        <v>183</v>
      </c>
      <c r="D21" s="124"/>
      <c r="E21" s="124"/>
      <c r="F21" s="124"/>
      <c r="G21" s="124"/>
      <c r="H21" s="124"/>
      <c r="I21" s="124"/>
      <c r="J21" s="124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3:23"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3:23"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3:23">
      <c r="C24" s="12"/>
      <c r="D24" s="12"/>
      <c r="E24" s="126" t="s">
        <v>140</v>
      </c>
      <c r="F24" s="126"/>
      <c r="G24" s="126"/>
      <c r="H24" s="126"/>
      <c r="I24" s="126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3:23">
      <c r="C25" s="12"/>
      <c r="D25" s="85" t="s">
        <v>141</v>
      </c>
      <c r="E25" s="85" t="s">
        <v>142</v>
      </c>
      <c r="F25" s="85" t="s">
        <v>143</v>
      </c>
      <c r="G25" s="85" t="s">
        <v>144</v>
      </c>
      <c r="H25" s="85" t="s">
        <v>145</v>
      </c>
      <c r="I25" s="85" t="s">
        <v>146</v>
      </c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3:23">
      <c r="C26" s="12"/>
      <c r="D26" s="86">
        <v>0.01</v>
      </c>
      <c r="E26" s="87"/>
      <c r="F26" s="87"/>
      <c r="G26" s="87"/>
      <c r="H26" s="87"/>
      <c r="I26" s="87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3:23" ht="15" customHeight="1">
      <c r="C27" s="12"/>
      <c r="D27" s="86">
        <v>0.05</v>
      </c>
      <c r="E27" s="87"/>
      <c r="F27" s="87"/>
      <c r="G27" s="87"/>
      <c r="H27" s="87"/>
      <c r="I27" s="87"/>
      <c r="J27" s="12"/>
      <c r="K27" s="12"/>
      <c r="L27" s="12"/>
      <c r="M27" s="124" t="s">
        <v>147</v>
      </c>
      <c r="N27" s="125"/>
      <c r="O27" s="125"/>
      <c r="P27" s="125"/>
      <c r="Q27" s="125"/>
      <c r="R27" s="125"/>
      <c r="S27" s="125"/>
      <c r="T27" s="125"/>
      <c r="U27" s="125"/>
      <c r="V27" s="125"/>
      <c r="W27" s="125"/>
    </row>
    <row r="28" spans="3:23"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3:23"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3:23">
      <c r="C30" s="124" t="s">
        <v>148</v>
      </c>
      <c r="D30" s="124"/>
      <c r="E30" s="124"/>
      <c r="F30" s="124"/>
      <c r="G30" s="124"/>
      <c r="H30" s="124"/>
      <c r="I30" s="124"/>
      <c r="J30" s="124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3:23"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3:23"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3:23"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3:23"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3:23"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3:23"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3:23"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3:23"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3:23"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3:23"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3:23"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3:23"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3:23"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3:23"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3:23"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</row>
    <row r="46" spans="3:23"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</row>
    <row r="47" spans="3:23"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</row>
    <row r="48" spans="3:23"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</row>
    <row r="49" spans="3:23"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</row>
    <row r="50" spans="3:23"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89" t="s">
        <v>128</v>
      </c>
    </row>
    <row r="51" spans="3:23"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89" t="s">
        <v>138</v>
      </c>
    </row>
  </sheetData>
  <mergeCells count="9">
    <mergeCell ref="C30:J30"/>
    <mergeCell ref="M27:W27"/>
    <mergeCell ref="C21:J21"/>
    <mergeCell ref="E24:I24"/>
    <mergeCell ref="C3:J3"/>
    <mergeCell ref="M3:W3"/>
    <mergeCell ref="E6:I6"/>
    <mergeCell ref="C12:J12"/>
    <mergeCell ref="E15:I15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C2:Y55"/>
  <sheetViews>
    <sheetView zoomScale="80" zoomScaleNormal="80" workbookViewId="0">
      <selection activeCell="C5" sqref="C5:I5"/>
    </sheetView>
  </sheetViews>
  <sheetFormatPr defaultRowHeight="15"/>
  <cols>
    <col min="1" max="2" width="9.140625" style="30"/>
    <col min="3" max="3" width="19.85546875" style="30" bestFit="1" customWidth="1"/>
    <col min="4" max="4" width="12.5703125" style="30" bestFit="1" customWidth="1"/>
    <col min="5" max="5" width="7.42578125" style="30" bestFit="1" customWidth="1"/>
    <col min="6" max="6" width="6.85546875" style="30" customWidth="1"/>
    <col min="7" max="7" width="22.140625" style="30" bestFit="1" customWidth="1"/>
    <col min="8" max="8" width="22.7109375" style="30" customWidth="1"/>
    <col min="9" max="9" width="12.5703125" style="30" customWidth="1"/>
    <col min="10" max="10" width="4.7109375" style="30" customWidth="1"/>
    <col min="11" max="25" width="9.28515625" style="30" customWidth="1"/>
    <col min="26" max="26" width="4.7109375" style="30" customWidth="1"/>
    <col min="27" max="36" width="9.140625" style="30" customWidth="1"/>
    <col min="37" max="37" width="8.28515625" style="30" customWidth="1"/>
    <col min="38" max="52" width="9.140625" style="30" customWidth="1"/>
    <col min="53" max="16384" width="9.140625" style="30"/>
  </cols>
  <sheetData>
    <row r="2" spans="3:25" ht="15" customHeight="1">
      <c r="C2" s="123" t="s">
        <v>21</v>
      </c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</row>
    <row r="3" spans="3:25"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</row>
    <row r="5" spans="3:25" ht="15" customHeight="1">
      <c r="C5" s="121" t="s">
        <v>74</v>
      </c>
      <c r="D5" s="122"/>
      <c r="E5" s="122"/>
      <c r="F5" s="122"/>
      <c r="G5" s="122"/>
      <c r="H5" s="122"/>
      <c r="I5" s="122"/>
      <c r="K5" s="121" t="s">
        <v>53</v>
      </c>
      <c r="L5" s="122"/>
      <c r="M5" s="122"/>
      <c r="N5" s="122"/>
      <c r="O5" s="122"/>
      <c r="P5" s="122"/>
      <c r="Q5" s="122"/>
      <c r="S5" s="121" t="s">
        <v>54</v>
      </c>
      <c r="T5" s="122"/>
      <c r="U5" s="122"/>
      <c r="V5" s="122"/>
      <c r="W5" s="122"/>
      <c r="X5" s="122"/>
      <c r="Y5" s="122"/>
    </row>
    <row r="7" spans="3:25">
      <c r="C7" s="49" t="s">
        <v>75</v>
      </c>
      <c r="D7" s="8"/>
      <c r="G7" s="49" t="s">
        <v>83</v>
      </c>
      <c r="H7" s="66"/>
      <c r="I7" s="66"/>
    </row>
    <row r="8" spans="3:25">
      <c r="C8" s="49" t="s">
        <v>91</v>
      </c>
      <c r="D8" s="65"/>
      <c r="G8" s="50" t="s">
        <v>90</v>
      </c>
      <c r="H8" s="65"/>
    </row>
    <row r="9" spans="3:25">
      <c r="C9" s="49"/>
    </row>
    <row r="10" spans="3:25">
      <c r="C10" s="49" t="s">
        <v>76</v>
      </c>
      <c r="D10" s="6"/>
      <c r="E10" s="30" t="str">
        <f>IFERROR(+INDEX(Weights!$B:$B,MATCH('First Page'!$F26,Weights!$A:$A,0))*D10,"")</f>
        <v/>
      </c>
      <c r="G10" s="49" t="s">
        <v>89</v>
      </c>
      <c r="H10" s="66"/>
      <c r="I10" s="68"/>
    </row>
    <row r="11" spans="3:25">
      <c r="C11" s="49" t="s">
        <v>77</v>
      </c>
      <c r="D11" s="6"/>
      <c r="E11" s="77" t="str">
        <f>IFERROR(+INDEX(Weights!$B:$B,MATCH('First Page'!$F27,Weights!$A:$A,0))*D11,"")</f>
        <v/>
      </c>
      <c r="G11" s="49" t="s">
        <v>84</v>
      </c>
      <c r="H11" s="66"/>
      <c r="I11" s="68"/>
    </row>
    <row r="12" spans="3:25">
      <c r="C12" s="49" t="s">
        <v>78</v>
      </c>
      <c r="D12" s="6"/>
      <c r="E12" s="77" t="str">
        <f>IFERROR(+INDEX(Weights!$B:$B,MATCH('First Page'!$F28,Weights!$A:$A,0))*D12,"")</f>
        <v/>
      </c>
      <c r="G12" s="49" t="s">
        <v>85</v>
      </c>
      <c r="H12" s="66"/>
      <c r="I12" s="68"/>
    </row>
    <row r="13" spans="3:25">
      <c r="C13" s="49"/>
    </row>
    <row r="14" spans="3:25">
      <c r="C14" s="49" t="s">
        <v>79</v>
      </c>
      <c r="D14" s="6"/>
      <c r="G14" s="49" t="s">
        <v>86</v>
      </c>
      <c r="H14" s="66"/>
      <c r="I14" s="68"/>
    </row>
    <row r="15" spans="3:25">
      <c r="C15" s="49" t="s">
        <v>81</v>
      </c>
      <c r="D15" s="6"/>
      <c r="G15" s="49" t="s">
        <v>87</v>
      </c>
      <c r="H15" s="66"/>
      <c r="I15" s="68"/>
    </row>
    <row r="16" spans="3:25">
      <c r="C16" s="49" t="s">
        <v>80</v>
      </c>
      <c r="D16" s="6"/>
      <c r="G16" s="49" t="s">
        <v>88</v>
      </c>
      <c r="H16" s="66"/>
      <c r="I16" s="68"/>
    </row>
    <row r="17" spans="3:9">
      <c r="C17" s="49"/>
    </row>
    <row r="18" spans="3:9">
      <c r="C18" s="49" t="s">
        <v>82</v>
      </c>
      <c r="D18" s="6"/>
    </row>
    <row r="20" spans="3:9">
      <c r="C20" s="15" t="s">
        <v>32</v>
      </c>
      <c r="D20" s="17"/>
      <c r="G20" s="49" t="s">
        <v>93</v>
      </c>
      <c r="H20" s="65"/>
    </row>
    <row r="21" spans="3:9">
      <c r="C21" s="15" t="s">
        <v>33</v>
      </c>
      <c r="D21" s="17"/>
      <c r="G21" s="49" t="s">
        <v>94</v>
      </c>
      <c r="H21" s="65"/>
    </row>
    <row r="22" spans="3:9">
      <c r="C22" s="15" t="s">
        <v>34</v>
      </c>
      <c r="D22" s="26"/>
      <c r="G22" s="49" t="s">
        <v>95</v>
      </c>
      <c r="H22" s="65"/>
    </row>
    <row r="23" spans="3:9">
      <c r="C23" s="15" t="s">
        <v>35</v>
      </c>
      <c r="D23" s="26"/>
      <c r="G23" s="49" t="s">
        <v>96</v>
      </c>
      <c r="H23" s="65"/>
    </row>
    <row r="24" spans="3:9">
      <c r="C24" s="15" t="s">
        <v>92</v>
      </c>
      <c r="D24" s="6"/>
    </row>
    <row r="25" spans="3:9">
      <c r="C25" s="15" t="s">
        <v>36</v>
      </c>
      <c r="D25" s="17"/>
    </row>
    <row r="26" spans="3:9" s="33" customFormat="1">
      <c r="C26" s="15" t="s">
        <v>37</v>
      </c>
      <c r="D26" s="17"/>
    </row>
    <row r="28" spans="3:9">
      <c r="C28"/>
      <c r="D28"/>
      <c r="E28"/>
      <c r="F28"/>
      <c r="G28"/>
      <c r="H28"/>
      <c r="I28"/>
    </row>
    <row r="29" spans="3:9">
      <c r="C29"/>
      <c r="D29"/>
      <c r="E29"/>
      <c r="F29"/>
      <c r="G29"/>
      <c r="H29"/>
      <c r="I29"/>
    </row>
    <row r="30" spans="3:9">
      <c r="C30"/>
      <c r="D30"/>
      <c r="E30"/>
      <c r="F30"/>
      <c r="G30"/>
      <c r="H30"/>
      <c r="I30"/>
    </row>
    <row r="31" spans="3:9">
      <c r="C31"/>
      <c r="D31"/>
      <c r="E31"/>
      <c r="F31"/>
      <c r="G31"/>
      <c r="H31"/>
      <c r="I31"/>
    </row>
    <row r="32" spans="3:9">
      <c r="C32"/>
      <c r="D32"/>
      <c r="E32"/>
      <c r="F32"/>
      <c r="G32"/>
      <c r="H32"/>
      <c r="I32"/>
    </row>
    <row r="33" spans="3:9">
      <c r="C33"/>
      <c r="D33"/>
      <c r="E33"/>
      <c r="F33"/>
      <c r="G33"/>
      <c r="H33"/>
      <c r="I33"/>
    </row>
    <row r="34" spans="3:9">
      <c r="C34"/>
      <c r="D34"/>
      <c r="E34"/>
      <c r="F34"/>
      <c r="G34"/>
      <c r="H34"/>
      <c r="I34"/>
    </row>
    <row r="35" spans="3:9">
      <c r="C35"/>
      <c r="D35"/>
      <c r="E35"/>
      <c r="F35"/>
      <c r="G35"/>
      <c r="H35"/>
      <c r="I35"/>
    </row>
    <row r="36" spans="3:9">
      <c r="C36"/>
      <c r="D36"/>
      <c r="E36"/>
      <c r="F36"/>
      <c r="G36"/>
      <c r="H36"/>
      <c r="I36"/>
    </row>
    <row r="37" spans="3:9">
      <c r="C37"/>
      <c r="D37"/>
      <c r="E37"/>
      <c r="F37"/>
      <c r="G37"/>
      <c r="H37"/>
      <c r="I37"/>
    </row>
    <row r="38" spans="3:9">
      <c r="C38"/>
      <c r="D38"/>
      <c r="E38"/>
      <c r="F38"/>
      <c r="G38"/>
      <c r="H38"/>
      <c r="I38"/>
    </row>
    <row r="39" spans="3:9">
      <c r="C39"/>
      <c r="D39"/>
      <c r="E39"/>
      <c r="F39"/>
      <c r="G39"/>
      <c r="H39"/>
      <c r="I39"/>
    </row>
    <row r="40" spans="3:9">
      <c r="C40"/>
      <c r="D40"/>
      <c r="E40"/>
      <c r="F40"/>
      <c r="G40"/>
      <c r="H40"/>
      <c r="I40"/>
    </row>
    <row r="41" spans="3:9">
      <c r="C41"/>
      <c r="D41"/>
      <c r="E41"/>
      <c r="F41"/>
      <c r="G41"/>
      <c r="H41"/>
      <c r="I41"/>
    </row>
    <row r="42" spans="3:9">
      <c r="C42"/>
      <c r="D42"/>
      <c r="E42"/>
      <c r="F42"/>
      <c r="G42"/>
      <c r="H42"/>
      <c r="I42"/>
    </row>
    <row r="43" spans="3:9">
      <c r="C43"/>
      <c r="D43"/>
      <c r="E43"/>
      <c r="F43"/>
      <c r="G43"/>
      <c r="H43"/>
      <c r="I43"/>
    </row>
    <row r="44" spans="3:9">
      <c r="C44" s="15"/>
      <c r="D44" s="16"/>
      <c r="E44" s="29"/>
    </row>
    <row r="49" spans="11:24" ht="15.75" customHeight="1"/>
    <row r="50" spans="11:24" ht="15.75" customHeight="1"/>
    <row r="51" spans="11:24" ht="15.75" customHeight="1"/>
    <row r="52" spans="11:24" ht="15.75" customHeight="1"/>
    <row r="54" spans="11:24">
      <c r="K54" s="27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</row>
    <row r="55" spans="11:24">
      <c r="K55" s="27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</row>
  </sheetData>
  <mergeCells count="4">
    <mergeCell ref="C2:Y3"/>
    <mergeCell ref="C5:I5"/>
    <mergeCell ref="K5:Q5"/>
    <mergeCell ref="S5:Y5"/>
  </mergeCells>
  <conditionalFormatting sqref="L54:X55">
    <cfRule type="cellIs" dxfId="89" priority="1" stopIfTrue="1" operator="equal">
      <formula>"n.d."</formula>
    </cfRule>
    <cfRule type="cellIs" dxfId="88" priority="2" stopIfTrue="1" operator="equal">
      <formula>0</formula>
    </cfRule>
    <cfRule type="cellIs" dxfId="87" priority="3" stopIfTrue="1" operator="greaterThan">
      <formula>0</formula>
    </cfRule>
    <cfRule type="cellIs" dxfId="86" priority="4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pageSetUpPr fitToPage="1"/>
  </sheetPr>
  <dimension ref="C3:Y56"/>
  <sheetViews>
    <sheetView zoomScaleNormal="100" workbookViewId="0">
      <selection activeCell="I18" sqref="I18"/>
    </sheetView>
  </sheetViews>
  <sheetFormatPr defaultRowHeight="15"/>
  <cols>
    <col min="1" max="2" width="9.140625" style="58"/>
    <col min="3" max="3" width="12" style="4" bestFit="1" customWidth="1"/>
    <col min="4" max="4" width="7" style="4" bestFit="1" customWidth="1"/>
    <col min="5" max="5" width="4.5703125" style="4" bestFit="1" customWidth="1"/>
    <col min="6" max="6" width="15.5703125" style="4" bestFit="1" customWidth="1"/>
    <col min="7" max="7" width="7.140625" style="4" bestFit="1" customWidth="1"/>
    <col min="8" max="8" width="17.42578125" style="4" bestFit="1" customWidth="1"/>
    <col min="9" max="9" width="17.28515625" style="4" bestFit="1" customWidth="1"/>
    <col min="10" max="10" width="9.42578125" style="4" bestFit="1" customWidth="1"/>
    <col min="11" max="11" width="11.28515625" style="5" bestFit="1" customWidth="1"/>
    <col min="12" max="12" width="9.7109375" style="6" customWidth="1"/>
    <col min="13" max="13" width="8.5703125" style="6" bestFit="1" customWidth="1"/>
    <col min="14" max="14" width="9.28515625" style="6" bestFit="1" customWidth="1"/>
    <col min="15" max="15" width="12" style="6" bestFit="1" customWidth="1"/>
    <col min="16" max="16" width="9.28515625" style="7" bestFit="1" customWidth="1"/>
    <col min="17" max="17" width="6.7109375" style="8" bestFit="1" customWidth="1"/>
    <col min="18" max="18" width="6.42578125" style="58" bestFit="1" customWidth="1"/>
    <col min="19" max="19" width="10" style="5" bestFit="1" customWidth="1"/>
    <col min="20" max="20" width="10.140625" style="6" bestFit="1" customWidth="1"/>
    <col min="21" max="21" width="13.42578125" style="7" bestFit="1" customWidth="1"/>
    <col min="22" max="22" width="8" style="58" bestFit="1" customWidth="1"/>
    <col min="23" max="16384" width="9.140625" style="58"/>
  </cols>
  <sheetData>
    <row r="3" spans="3:25" ht="15" customHeight="1">
      <c r="C3" s="128" t="s">
        <v>0</v>
      </c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</row>
    <row r="4" spans="3:25">
      <c r="C4" s="127" t="s">
        <v>184</v>
      </c>
      <c r="D4" s="127"/>
      <c r="E4" s="127"/>
      <c r="F4" s="127"/>
      <c r="K4" s="53"/>
      <c r="L4" s="54"/>
      <c r="M4" s="54"/>
      <c r="N4" s="54"/>
      <c r="O4" s="54"/>
      <c r="P4" s="55"/>
      <c r="Q4" s="56"/>
      <c r="R4" s="52"/>
      <c r="S4" s="53"/>
      <c r="T4" s="54"/>
      <c r="U4" s="55"/>
      <c r="V4" s="52"/>
    </row>
    <row r="5" spans="3:25" ht="30" customHeight="1">
      <c r="C5" s="59" t="s">
        <v>1</v>
      </c>
      <c r="D5" s="59" t="s">
        <v>2</v>
      </c>
      <c r="E5" s="59" t="s">
        <v>3</v>
      </c>
      <c r="F5" s="59" t="s">
        <v>4</v>
      </c>
      <c r="G5" s="59" t="s">
        <v>5</v>
      </c>
      <c r="H5" s="59" t="s">
        <v>6</v>
      </c>
      <c r="I5" s="59" t="s">
        <v>7</v>
      </c>
      <c r="J5" s="59" t="s">
        <v>8</v>
      </c>
      <c r="K5" s="60" t="s">
        <v>9</v>
      </c>
      <c r="L5" s="61" t="s">
        <v>10</v>
      </c>
      <c r="M5" s="61" t="s">
        <v>11</v>
      </c>
      <c r="N5" s="61" t="s">
        <v>12</v>
      </c>
      <c r="O5" s="61" t="s">
        <v>13</v>
      </c>
      <c r="P5" s="62" t="s">
        <v>14</v>
      </c>
      <c r="Q5" s="63" t="s">
        <v>15</v>
      </c>
      <c r="R5" s="59" t="s">
        <v>16</v>
      </c>
      <c r="S5" s="60" t="s">
        <v>17</v>
      </c>
      <c r="T5" s="61" t="s">
        <v>18</v>
      </c>
      <c r="U5" s="62" t="s">
        <v>19</v>
      </c>
      <c r="V5" s="59" t="s">
        <v>20</v>
      </c>
    </row>
    <row r="6" spans="3:25">
      <c r="K6" s="53"/>
      <c r="L6" s="54"/>
      <c r="M6" s="54"/>
      <c r="N6" s="54"/>
      <c r="O6" s="54"/>
      <c r="P6" s="55"/>
      <c r="Q6" s="56"/>
      <c r="R6" s="52"/>
      <c r="S6" s="53"/>
      <c r="T6" s="54"/>
      <c r="U6" s="55"/>
      <c r="V6" s="52"/>
    </row>
    <row r="7" spans="3:25">
      <c r="K7" s="53"/>
      <c r="L7" s="54"/>
      <c r="M7" s="54"/>
      <c r="N7" s="54"/>
      <c r="O7" s="54"/>
      <c r="P7" s="55"/>
      <c r="Q7" s="56"/>
      <c r="R7" s="52"/>
      <c r="S7" s="53"/>
      <c r="T7" s="54"/>
      <c r="U7" s="55"/>
      <c r="V7" s="52"/>
    </row>
    <row r="8" spans="3:25">
      <c r="K8" s="53"/>
      <c r="L8" s="54"/>
      <c r="M8" s="54"/>
      <c r="N8" s="54"/>
      <c r="O8" s="54"/>
      <c r="P8" s="55"/>
      <c r="Q8" s="56"/>
      <c r="R8" s="52"/>
      <c r="S8" s="53"/>
      <c r="T8" s="54"/>
      <c r="U8" s="55"/>
      <c r="V8" s="52"/>
    </row>
    <row r="9" spans="3:25">
      <c r="K9" s="53"/>
      <c r="L9" s="54"/>
      <c r="M9" s="54"/>
      <c r="N9" s="54"/>
      <c r="O9" s="54"/>
      <c r="P9" s="55"/>
      <c r="Q9" s="56"/>
      <c r="R9" s="52"/>
      <c r="S9" s="53"/>
      <c r="T9" s="54"/>
      <c r="U9" s="55"/>
      <c r="V9" s="52"/>
    </row>
    <row r="10" spans="3:25">
      <c r="K10" s="53"/>
      <c r="L10" s="54"/>
      <c r="M10" s="54"/>
      <c r="N10" s="54"/>
      <c r="O10" s="54"/>
      <c r="P10" s="55"/>
      <c r="Q10" s="56"/>
      <c r="R10" s="52"/>
      <c r="S10" s="53"/>
      <c r="T10" s="54"/>
      <c r="U10" s="55"/>
      <c r="V10" s="52"/>
    </row>
    <row r="11" spans="3:25">
      <c r="K11" s="53"/>
      <c r="L11" s="54"/>
      <c r="M11" s="54"/>
      <c r="N11" s="54"/>
      <c r="O11" s="54"/>
      <c r="P11" s="55"/>
      <c r="Q11" s="56"/>
      <c r="R11" s="52"/>
      <c r="S11" s="53"/>
      <c r="T11" s="54"/>
      <c r="U11" s="55"/>
      <c r="V11" s="52"/>
    </row>
    <row r="12" spans="3:25">
      <c r="K12" s="53"/>
      <c r="L12" s="54"/>
      <c r="M12" s="54"/>
      <c r="N12" s="54"/>
      <c r="O12" s="54"/>
      <c r="P12" s="55"/>
      <c r="Q12" s="56"/>
      <c r="R12" s="52"/>
      <c r="S12" s="53"/>
      <c r="T12" s="54"/>
      <c r="U12" s="55"/>
      <c r="V12" s="52"/>
    </row>
    <row r="13" spans="3:25">
      <c r="K13" s="53"/>
      <c r="L13" s="54"/>
      <c r="M13" s="54"/>
      <c r="N13" s="54"/>
      <c r="O13" s="54"/>
      <c r="P13" s="55"/>
      <c r="Q13" s="56"/>
      <c r="R13" s="52"/>
      <c r="S13" s="53"/>
      <c r="T13" s="54"/>
      <c r="U13" s="55"/>
      <c r="V13" s="52"/>
    </row>
    <row r="14" spans="3:25">
      <c r="K14" s="53"/>
      <c r="L14" s="54"/>
      <c r="M14" s="54"/>
      <c r="N14" s="54"/>
      <c r="O14" s="54"/>
      <c r="P14" s="55"/>
      <c r="Q14" s="56"/>
      <c r="R14" s="52"/>
      <c r="S14" s="53"/>
      <c r="T14" s="54"/>
      <c r="U14" s="55"/>
      <c r="V14" s="52"/>
    </row>
    <row r="15" spans="3:25">
      <c r="K15" s="53"/>
      <c r="L15" s="54"/>
      <c r="M15" s="54"/>
      <c r="N15" s="54"/>
      <c r="O15" s="54"/>
      <c r="P15" s="55"/>
      <c r="Q15" s="56"/>
      <c r="R15" s="52"/>
      <c r="S15" s="53"/>
      <c r="T15" s="54"/>
      <c r="U15" s="55"/>
      <c r="V15" s="52"/>
    </row>
    <row r="16" spans="3:25">
      <c r="K16" s="53"/>
      <c r="L16" s="54"/>
      <c r="M16" s="54"/>
      <c r="N16" s="54"/>
      <c r="O16" s="54"/>
      <c r="P16" s="55"/>
      <c r="Q16" s="56"/>
      <c r="R16" s="52"/>
      <c r="S16" s="53"/>
      <c r="T16" s="54"/>
      <c r="U16" s="55"/>
      <c r="V16" s="52"/>
    </row>
    <row r="17" spans="11:22">
      <c r="K17" s="53"/>
      <c r="L17" s="54"/>
      <c r="M17" s="54"/>
      <c r="N17" s="54"/>
      <c r="O17" s="54"/>
      <c r="P17" s="55"/>
      <c r="Q17" s="56"/>
      <c r="R17" s="52"/>
      <c r="S17" s="53"/>
      <c r="T17" s="54"/>
      <c r="U17" s="55"/>
      <c r="V17" s="52"/>
    </row>
    <row r="18" spans="11:22">
      <c r="K18" s="53"/>
      <c r="L18" s="54"/>
      <c r="M18" s="54"/>
      <c r="N18" s="54"/>
      <c r="O18" s="54"/>
      <c r="P18" s="55"/>
      <c r="Q18" s="56"/>
      <c r="R18" s="52"/>
      <c r="S18" s="53"/>
      <c r="T18" s="54"/>
      <c r="U18" s="55"/>
      <c r="V18" s="52"/>
    </row>
    <row r="19" spans="11:22">
      <c r="K19" s="53"/>
      <c r="L19" s="54"/>
      <c r="M19" s="54"/>
      <c r="N19" s="54"/>
      <c r="O19" s="54"/>
      <c r="P19" s="55"/>
      <c r="Q19" s="56"/>
      <c r="R19" s="52"/>
      <c r="S19" s="53"/>
      <c r="T19" s="54"/>
      <c r="U19" s="55"/>
      <c r="V19" s="52"/>
    </row>
    <row r="20" spans="11:22">
      <c r="K20" s="53"/>
      <c r="L20" s="54"/>
      <c r="M20" s="54"/>
      <c r="N20" s="54"/>
      <c r="O20" s="54"/>
      <c r="P20" s="55"/>
      <c r="Q20" s="56"/>
      <c r="R20" s="52"/>
      <c r="S20" s="53"/>
      <c r="T20" s="54"/>
      <c r="U20" s="55"/>
      <c r="V20" s="52"/>
    </row>
    <row r="21" spans="11:22">
      <c r="K21" s="53"/>
      <c r="L21" s="54"/>
      <c r="M21" s="54"/>
      <c r="N21" s="54"/>
      <c r="O21" s="54"/>
      <c r="P21" s="55"/>
      <c r="Q21" s="56"/>
      <c r="R21" s="52"/>
      <c r="S21" s="53"/>
      <c r="T21" s="54"/>
      <c r="U21" s="55"/>
      <c r="V21" s="52"/>
    </row>
    <row r="22" spans="11:22">
      <c r="K22" s="53"/>
      <c r="L22" s="54"/>
      <c r="M22" s="54"/>
      <c r="N22" s="54"/>
      <c r="O22" s="54"/>
      <c r="P22" s="55"/>
      <c r="Q22" s="56"/>
      <c r="R22" s="52"/>
      <c r="S22" s="53"/>
      <c r="T22" s="54"/>
      <c r="U22" s="55"/>
      <c r="V22" s="52"/>
    </row>
    <row r="23" spans="11:22">
      <c r="K23" s="53"/>
      <c r="L23" s="54"/>
      <c r="M23" s="54"/>
      <c r="N23" s="54"/>
      <c r="O23" s="54"/>
      <c r="P23" s="55"/>
      <c r="Q23" s="56"/>
      <c r="R23" s="52"/>
      <c r="S23" s="53"/>
      <c r="T23" s="54"/>
      <c r="U23" s="55"/>
      <c r="V23" s="52"/>
    </row>
    <row r="24" spans="11:22">
      <c r="K24" s="53"/>
      <c r="L24" s="54"/>
      <c r="M24" s="54"/>
      <c r="N24" s="54"/>
      <c r="O24" s="54"/>
      <c r="P24" s="55"/>
      <c r="Q24" s="56"/>
      <c r="R24" s="52"/>
      <c r="S24" s="53"/>
      <c r="T24" s="54"/>
      <c r="U24" s="55"/>
      <c r="V24" s="52"/>
    </row>
    <row r="25" spans="11:22">
      <c r="K25" s="53"/>
      <c r="L25" s="54"/>
      <c r="M25" s="54"/>
      <c r="N25" s="54"/>
      <c r="O25" s="54"/>
      <c r="P25" s="55"/>
      <c r="Q25" s="56"/>
      <c r="R25" s="52"/>
      <c r="S25" s="53"/>
      <c r="T25" s="54"/>
      <c r="U25" s="55"/>
      <c r="V25" s="52"/>
    </row>
    <row r="26" spans="11:22">
      <c r="K26" s="53"/>
      <c r="L26" s="54"/>
      <c r="M26" s="54"/>
      <c r="N26" s="54"/>
      <c r="O26" s="54"/>
      <c r="P26" s="55"/>
      <c r="Q26" s="56"/>
      <c r="R26" s="52"/>
      <c r="S26" s="53"/>
      <c r="T26" s="54"/>
      <c r="U26" s="55"/>
      <c r="V26" s="52"/>
    </row>
    <row r="27" spans="11:22">
      <c r="K27" s="53"/>
      <c r="L27" s="54"/>
      <c r="M27" s="54"/>
      <c r="N27" s="54"/>
      <c r="O27" s="54"/>
      <c r="P27" s="55"/>
      <c r="Q27" s="56"/>
      <c r="R27" s="52"/>
      <c r="S27" s="53"/>
      <c r="T27" s="54"/>
      <c r="U27" s="55"/>
      <c r="V27" s="52"/>
    </row>
    <row r="28" spans="11:22">
      <c r="K28" s="53"/>
      <c r="L28" s="54"/>
      <c r="M28" s="54"/>
      <c r="N28" s="54"/>
      <c r="O28" s="54"/>
      <c r="P28" s="55"/>
      <c r="Q28" s="56"/>
      <c r="R28" s="52"/>
      <c r="S28" s="53"/>
      <c r="T28" s="54"/>
      <c r="U28" s="55"/>
      <c r="V28" s="52"/>
    </row>
    <row r="29" spans="11:22">
      <c r="K29" s="53"/>
      <c r="L29" s="54"/>
      <c r="M29" s="54"/>
      <c r="N29" s="54"/>
      <c r="O29" s="54"/>
      <c r="P29" s="55"/>
      <c r="Q29" s="56"/>
      <c r="R29" s="52"/>
      <c r="S29" s="53"/>
      <c r="T29" s="54"/>
      <c r="U29" s="55"/>
      <c r="V29" s="52"/>
    </row>
    <row r="30" spans="11:22">
      <c r="K30" s="53"/>
      <c r="L30" s="54"/>
      <c r="M30" s="54"/>
      <c r="N30" s="54"/>
      <c r="O30" s="54"/>
      <c r="P30" s="55"/>
      <c r="Q30" s="56"/>
      <c r="R30" s="52"/>
      <c r="S30" s="53"/>
      <c r="T30" s="54"/>
      <c r="U30" s="55"/>
      <c r="V30" s="52"/>
    </row>
    <row r="31" spans="11:22">
      <c r="K31" s="53"/>
      <c r="L31" s="54"/>
      <c r="M31" s="54"/>
      <c r="N31" s="54"/>
      <c r="O31" s="54"/>
      <c r="P31" s="55"/>
      <c r="Q31" s="56"/>
      <c r="R31" s="52"/>
      <c r="S31" s="53"/>
      <c r="T31" s="54"/>
      <c r="U31" s="55"/>
      <c r="V31" s="52"/>
    </row>
    <row r="32" spans="11:22">
      <c r="K32" s="53"/>
      <c r="L32" s="54"/>
      <c r="M32" s="54"/>
      <c r="N32" s="54"/>
      <c r="O32" s="54"/>
      <c r="P32" s="55"/>
      <c r="Q32" s="56"/>
      <c r="R32" s="52"/>
      <c r="S32" s="53"/>
      <c r="T32" s="54"/>
      <c r="U32" s="55"/>
      <c r="V32" s="52"/>
    </row>
    <row r="33" spans="11:22">
      <c r="K33" s="53"/>
      <c r="L33" s="54"/>
      <c r="M33" s="54"/>
      <c r="N33" s="54"/>
      <c r="O33" s="54"/>
      <c r="P33" s="55"/>
      <c r="Q33" s="56"/>
      <c r="R33" s="52"/>
      <c r="S33" s="53"/>
      <c r="T33" s="54"/>
      <c r="U33" s="55"/>
      <c r="V33" s="52"/>
    </row>
    <row r="34" spans="11:22">
      <c r="K34" s="53"/>
      <c r="L34" s="54"/>
      <c r="M34" s="54"/>
      <c r="N34" s="54"/>
      <c r="O34" s="54"/>
      <c r="P34" s="55"/>
      <c r="Q34" s="56"/>
      <c r="R34" s="52"/>
      <c r="S34" s="53"/>
      <c r="T34" s="54"/>
      <c r="U34" s="55"/>
      <c r="V34" s="52"/>
    </row>
    <row r="35" spans="11:22">
      <c r="K35" s="53"/>
      <c r="L35" s="54"/>
      <c r="M35" s="54"/>
      <c r="N35" s="54"/>
      <c r="O35" s="54"/>
      <c r="P35" s="55"/>
      <c r="Q35" s="56"/>
      <c r="R35" s="52"/>
      <c r="S35" s="53"/>
      <c r="T35" s="54"/>
      <c r="U35" s="55"/>
      <c r="V35" s="52"/>
    </row>
    <row r="36" spans="11:22">
      <c r="K36" s="53"/>
      <c r="L36" s="54"/>
      <c r="M36" s="54"/>
      <c r="N36" s="54"/>
      <c r="O36" s="54"/>
      <c r="P36" s="55"/>
      <c r="Q36" s="56"/>
      <c r="R36" s="52"/>
      <c r="S36" s="53"/>
      <c r="T36" s="54"/>
      <c r="U36" s="55"/>
      <c r="V36" s="52"/>
    </row>
    <row r="37" spans="11:22">
      <c r="K37" s="53"/>
      <c r="L37" s="54"/>
      <c r="M37" s="54"/>
      <c r="N37" s="54"/>
      <c r="O37" s="54"/>
      <c r="P37" s="55"/>
      <c r="Q37" s="56"/>
      <c r="R37" s="52"/>
      <c r="S37" s="53"/>
      <c r="T37" s="54"/>
      <c r="U37" s="55"/>
      <c r="V37" s="52"/>
    </row>
    <row r="38" spans="11:22">
      <c r="K38" s="53"/>
      <c r="L38" s="54"/>
      <c r="M38" s="54"/>
      <c r="N38" s="54"/>
      <c r="O38" s="54"/>
      <c r="P38" s="55"/>
      <c r="Q38" s="56"/>
      <c r="R38" s="52"/>
      <c r="S38" s="53"/>
      <c r="T38" s="54"/>
      <c r="U38" s="55"/>
      <c r="V38" s="52"/>
    </row>
    <row r="39" spans="11:22">
      <c r="K39" s="53"/>
      <c r="L39" s="54"/>
      <c r="M39" s="54"/>
      <c r="N39" s="54"/>
      <c r="O39" s="54"/>
      <c r="P39" s="55"/>
      <c r="Q39" s="56"/>
      <c r="R39" s="52"/>
      <c r="S39" s="53"/>
      <c r="T39" s="54"/>
      <c r="U39" s="55"/>
      <c r="V39" s="52"/>
    </row>
    <row r="40" spans="11:22">
      <c r="K40" s="53"/>
      <c r="L40" s="54"/>
      <c r="M40" s="54"/>
      <c r="N40" s="54"/>
      <c r="O40" s="54"/>
      <c r="P40" s="55"/>
      <c r="Q40" s="56"/>
      <c r="R40" s="52"/>
      <c r="S40" s="53"/>
      <c r="T40" s="54"/>
      <c r="U40" s="55"/>
      <c r="V40" s="52"/>
    </row>
    <row r="41" spans="11:22">
      <c r="K41" s="53"/>
      <c r="L41" s="54"/>
      <c r="M41" s="54"/>
      <c r="N41" s="54"/>
      <c r="O41" s="54"/>
      <c r="P41" s="55"/>
      <c r="Q41" s="56"/>
      <c r="R41" s="52"/>
      <c r="S41" s="53"/>
      <c r="T41" s="54"/>
      <c r="U41" s="55"/>
      <c r="V41" s="52"/>
    </row>
    <row r="42" spans="11:22">
      <c r="K42" s="53"/>
      <c r="L42" s="54"/>
      <c r="M42" s="54"/>
      <c r="N42" s="54"/>
      <c r="O42" s="54"/>
      <c r="P42" s="55"/>
      <c r="Q42" s="56"/>
      <c r="R42" s="52"/>
      <c r="S42" s="53"/>
      <c r="T42" s="54"/>
      <c r="U42" s="55"/>
      <c r="V42" s="52"/>
    </row>
    <row r="43" spans="11:22">
      <c r="K43" s="53"/>
      <c r="L43" s="54"/>
      <c r="M43" s="54"/>
      <c r="N43" s="54"/>
      <c r="O43" s="54"/>
      <c r="P43" s="55"/>
      <c r="Q43" s="56"/>
      <c r="R43" s="52"/>
      <c r="S43" s="53"/>
      <c r="T43" s="54"/>
      <c r="U43" s="55"/>
      <c r="V43" s="52"/>
    </row>
    <row r="44" spans="11:22">
      <c r="K44" s="53"/>
      <c r="L44" s="54"/>
      <c r="M44" s="54"/>
      <c r="N44" s="54"/>
      <c r="O44" s="54"/>
      <c r="P44" s="55"/>
      <c r="Q44" s="56"/>
      <c r="R44" s="52"/>
      <c r="S44" s="53"/>
      <c r="T44" s="54"/>
      <c r="U44" s="55"/>
      <c r="V44" s="52"/>
    </row>
    <row r="45" spans="11:22">
      <c r="K45" s="53"/>
      <c r="L45" s="54"/>
      <c r="M45" s="54"/>
      <c r="N45" s="54"/>
      <c r="O45" s="54"/>
      <c r="P45" s="55"/>
      <c r="Q45" s="56"/>
      <c r="R45" s="52"/>
      <c r="S45" s="53"/>
      <c r="T45" s="54"/>
      <c r="U45" s="55"/>
      <c r="V45" s="52"/>
    </row>
    <row r="46" spans="11:22">
      <c r="K46" s="53"/>
      <c r="L46" s="54"/>
      <c r="M46" s="54"/>
      <c r="N46" s="54"/>
      <c r="O46" s="54"/>
      <c r="P46" s="55"/>
      <c r="Q46" s="56"/>
      <c r="R46" s="52"/>
      <c r="S46" s="53"/>
      <c r="T46" s="54"/>
      <c r="U46" s="55"/>
      <c r="V46" s="52"/>
    </row>
    <row r="47" spans="11:22">
      <c r="K47" s="53"/>
      <c r="L47" s="54"/>
      <c r="M47" s="54"/>
      <c r="N47" s="54"/>
      <c r="O47" s="54"/>
      <c r="P47" s="55"/>
      <c r="Q47" s="56"/>
      <c r="R47" s="52"/>
      <c r="S47" s="53"/>
      <c r="T47" s="54"/>
      <c r="U47" s="55"/>
      <c r="V47" s="52"/>
    </row>
    <row r="48" spans="11:22">
      <c r="K48" s="53"/>
      <c r="L48" s="54"/>
      <c r="M48" s="54"/>
      <c r="N48" s="54"/>
      <c r="O48" s="54"/>
      <c r="P48" s="55"/>
      <c r="Q48" s="56"/>
      <c r="R48" s="52"/>
      <c r="S48" s="53"/>
      <c r="T48" s="54"/>
      <c r="U48" s="55"/>
      <c r="V48" s="52"/>
    </row>
    <row r="49" spans="11:22">
      <c r="K49" s="53"/>
      <c r="L49" s="54"/>
      <c r="M49" s="54"/>
      <c r="N49" s="54"/>
      <c r="O49" s="54"/>
      <c r="P49" s="55"/>
      <c r="Q49" s="56"/>
      <c r="R49" s="52"/>
      <c r="S49" s="53"/>
      <c r="T49" s="54"/>
      <c r="U49" s="55"/>
      <c r="V49" s="52"/>
    </row>
    <row r="50" spans="11:22">
      <c r="K50" s="53"/>
      <c r="L50" s="54"/>
      <c r="M50" s="54"/>
      <c r="N50" s="54"/>
      <c r="O50" s="54"/>
      <c r="P50" s="55"/>
      <c r="Q50" s="56"/>
      <c r="R50" s="52"/>
      <c r="S50" s="53"/>
      <c r="T50" s="54"/>
      <c r="U50" s="55"/>
      <c r="V50" s="52"/>
    </row>
    <row r="51" spans="11:22">
      <c r="K51" s="53"/>
      <c r="L51" s="54"/>
      <c r="M51" s="54"/>
      <c r="N51" s="54"/>
      <c r="O51" s="54"/>
      <c r="P51" s="55"/>
      <c r="Q51" s="56"/>
      <c r="R51" s="52"/>
      <c r="S51" s="53"/>
      <c r="T51" s="54"/>
      <c r="U51" s="55"/>
      <c r="V51" s="52"/>
    </row>
    <row r="52" spans="11:22">
      <c r="K52" s="53"/>
      <c r="L52" s="54"/>
      <c r="M52" s="54"/>
      <c r="N52" s="54"/>
      <c r="O52" s="54"/>
      <c r="P52" s="55"/>
      <c r="Q52" s="56"/>
      <c r="R52" s="52"/>
      <c r="S52" s="53"/>
      <c r="T52" s="54"/>
      <c r="U52" s="55"/>
      <c r="V52" s="52"/>
    </row>
    <row r="53" spans="11:22">
      <c r="K53" s="53"/>
      <c r="L53" s="54"/>
      <c r="M53" s="54"/>
      <c r="N53" s="54"/>
      <c r="O53" s="54"/>
      <c r="P53" s="55"/>
      <c r="Q53" s="56"/>
      <c r="R53" s="52"/>
      <c r="S53" s="53"/>
      <c r="T53" s="54"/>
      <c r="U53" s="55"/>
      <c r="V53" s="52"/>
    </row>
    <row r="54" spans="11:22">
      <c r="K54" s="53"/>
      <c r="L54" s="54"/>
      <c r="M54" s="54"/>
      <c r="N54" s="54"/>
      <c r="O54" s="54"/>
      <c r="P54" s="55"/>
      <c r="Q54" s="56"/>
      <c r="R54" s="52"/>
      <c r="S54" s="53"/>
      <c r="T54" s="54"/>
      <c r="U54" s="55"/>
      <c r="V54" s="52"/>
    </row>
    <row r="55" spans="11:22">
      <c r="K55" s="53"/>
      <c r="L55" s="54"/>
      <c r="M55" s="54"/>
      <c r="N55" s="54"/>
      <c r="O55" s="54"/>
      <c r="P55" s="55"/>
      <c r="Q55" s="56"/>
      <c r="R55" s="52"/>
      <c r="S55" s="53"/>
      <c r="T55" s="54"/>
      <c r="U55" s="55"/>
      <c r="V55" s="52"/>
    </row>
    <row r="56" spans="11:22">
      <c r="K56" s="53"/>
      <c r="L56" s="54"/>
      <c r="M56" s="54"/>
      <c r="N56" s="54"/>
      <c r="O56" s="54"/>
      <c r="P56" s="55"/>
      <c r="Q56" s="56"/>
      <c r="R56" s="52"/>
      <c r="S56" s="53"/>
      <c r="T56" s="54"/>
      <c r="U56" s="55"/>
      <c r="V56" s="52"/>
    </row>
  </sheetData>
  <mergeCells count="2">
    <mergeCell ref="C4:F4"/>
    <mergeCell ref="C3:Y3"/>
  </mergeCells>
  <conditionalFormatting sqref="L6:L1048576">
    <cfRule type="cellIs" dxfId="85" priority="1" stopIfTrue="1" operator="greaterThan">
      <formula>5/100</formula>
    </cfRule>
  </conditionalFormatting>
  <conditionalFormatting sqref="M6:O1048576">
    <cfRule type="cellIs" dxfId="84" priority="2" stopIfTrue="1" operator="equal">
      <formula>"n.d."</formula>
    </cfRule>
    <cfRule type="cellIs" dxfId="83" priority="3" stopIfTrue="1" operator="equal">
      <formula>0</formula>
    </cfRule>
    <cfRule type="cellIs" dxfId="82" priority="4" stopIfTrue="1" operator="greaterThan">
      <formula>0</formula>
    </cfRule>
    <cfRule type="cellIs" dxfId="81" priority="5" stopIfTrue="1" operator="lessThan">
      <formula>0</formula>
    </cfRule>
  </conditionalFormatting>
  <printOptions horizontalCentered="1"/>
  <pageMargins left="0.70866141732283472" right="0.70866141732283472" top="0.19685039370078741" bottom="0.74803149606299213" header="0" footer="0.31496062992125978"/>
  <pageSetup paperSize="9" scale="4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C2:Y55"/>
  <sheetViews>
    <sheetView zoomScale="80" zoomScaleNormal="80" workbookViewId="0">
      <selection activeCell="E11" sqref="E11"/>
    </sheetView>
  </sheetViews>
  <sheetFormatPr defaultRowHeight="15"/>
  <cols>
    <col min="1" max="2" width="9.140625" style="30"/>
    <col min="3" max="3" width="19.85546875" style="30" bestFit="1" customWidth="1"/>
    <col min="4" max="4" width="12.5703125" style="30" bestFit="1" customWidth="1"/>
    <col min="5" max="5" width="7.42578125" style="30" bestFit="1" customWidth="1"/>
    <col min="6" max="6" width="6.85546875" style="30" customWidth="1"/>
    <col min="7" max="7" width="22.140625" style="30" bestFit="1" customWidth="1"/>
    <col min="8" max="8" width="22.7109375" style="30" customWidth="1"/>
    <col min="9" max="9" width="12.5703125" style="30" customWidth="1"/>
    <col min="10" max="10" width="4.7109375" style="30" customWidth="1"/>
    <col min="11" max="25" width="9.28515625" style="30" customWidth="1"/>
    <col min="26" max="26" width="4.7109375" style="30" customWidth="1"/>
    <col min="27" max="36" width="9.140625" style="30" customWidth="1"/>
    <col min="37" max="37" width="8.28515625" style="30" customWidth="1"/>
    <col min="38" max="52" width="9.140625" style="30" customWidth="1"/>
    <col min="53" max="16384" width="9.140625" style="30"/>
  </cols>
  <sheetData>
    <row r="2" spans="3:25" ht="15" customHeight="1">
      <c r="C2" s="123" t="s">
        <v>28</v>
      </c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</row>
    <row r="3" spans="3:25"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</row>
    <row r="5" spans="3:25">
      <c r="C5" s="121" t="s">
        <v>74</v>
      </c>
      <c r="D5" s="122"/>
      <c r="E5" s="122"/>
      <c r="F5" s="122"/>
      <c r="G5" s="122"/>
      <c r="H5" s="122"/>
      <c r="I5" s="122"/>
      <c r="K5" s="121" t="s">
        <v>55</v>
      </c>
      <c r="L5" s="122"/>
      <c r="M5" s="122"/>
      <c r="N5" s="122"/>
      <c r="O5" s="122"/>
      <c r="P5" s="122"/>
      <c r="Q5" s="122"/>
      <c r="S5" s="121" t="s">
        <v>56</v>
      </c>
      <c r="T5" s="122"/>
      <c r="U5" s="122"/>
      <c r="V5" s="122"/>
      <c r="W5" s="122"/>
      <c r="X5" s="122"/>
      <c r="Y5" s="122"/>
    </row>
    <row r="7" spans="3:25">
      <c r="C7" s="49" t="s">
        <v>75</v>
      </c>
      <c r="D7" s="8"/>
      <c r="E7" s="51"/>
      <c r="F7" s="51"/>
      <c r="G7" s="49" t="s">
        <v>83</v>
      </c>
      <c r="H7" s="66"/>
      <c r="I7" s="66"/>
    </row>
    <row r="8" spans="3:25" s="51" customFormat="1">
      <c r="C8" s="49" t="s">
        <v>91</v>
      </c>
      <c r="D8" s="65"/>
      <c r="G8" s="50" t="s">
        <v>90</v>
      </c>
      <c r="H8" s="65"/>
    </row>
    <row r="9" spans="3:25">
      <c r="C9" s="49"/>
    </row>
    <row r="10" spans="3:25">
      <c r="C10" s="49" t="s">
        <v>76</v>
      </c>
      <c r="D10" s="6"/>
      <c r="E10" s="77" t="str">
        <f>IFERROR(+INDEX(Weights!$C:$C,MATCH('First Page'!$F26,Weights!$A:$A,0))*D10,"")</f>
        <v/>
      </c>
      <c r="G10" s="49" t="s">
        <v>89</v>
      </c>
      <c r="H10" s="66"/>
      <c r="I10" s="68"/>
    </row>
    <row r="11" spans="3:25">
      <c r="C11" s="49" t="s">
        <v>77</v>
      </c>
      <c r="D11" s="6"/>
      <c r="E11" s="77" t="str">
        <f>IFERROR(+INDEX(Weights!$C:$C,MATCH('First Page'!$F27,Weights!$A:$A,0))*D11,"")</f>
        <v/>
      </c>
      <c r="G11" s="49" t="s">
        <v>84</v>
      </c>
      <c r="H11" s="66"/>
      <c r="I11" s="68"/>
    </row>
    <row r="12" spans="3:25">
      <c r="C12" s="49" t="s">
        <v>78</v>
      </c>
      <c r="D12" s="6"/>
      <c r="E12" s="77" t="str">
        <f>IFERROR(+INDEX(Weights!$C:$C,MATCH('First Page'!$F28,Weights!$A:$A,0))*D12,"")</f>
        <v/>
      </c>
      <c r="G12" s="49" t="s">
        <v>85</v>
      </c>
      <c r="H12" s="66"/>
      <c r="I12" s="68"/>
    </row>
    <row r="13" spans="3:25">
      <c r="C13" s="49"/>
    </row>
    <row r="14" spans="3:25">
      <c r="C14" s="49" t="s">
        <v>79</v>
      </c>
      <c r="D14" s="6"/>
      <c r="G14" s="49" t="s">
        <v>86</v>
      </c>
      <c r="H14" s="66"/>
      <c r="I14" s="68"/>
    </row>
    <row r="15" spans="3:25">
      <c r="C15" s="49" t="s">
        <v>81</v>
      </c>
      <c r="D15" s="6"/>
      <c r="G15" s="49" t="s">
        <v>87</v>
      </c>
      <c r="H15" s="66"/>
      <c r="I15" s="68"/>
    </row>
    <row r="16" spans="3:25">
      <c r="C16" s="49" t="s">
        <v>80</v>
      </c>
      <c r="D16" s="6"/>
      <c r="G16" s="49" t="s">
        <v>88</v>
      </c>
      <c r="H16" s="66"/>
      <c r="I16" s="68"/>
    </row>
    <row r="17" spans="3:9">
      <c r="C17" s="49"/>
    </row>
    <row r="18" spans="3:9">
      <c r="C18" s="49" t="s">
        <v>82</v>
      </c>
      <c r="D18" s="6"/>
    </row>
    <row r="20" spans="3:9">
      <c r="C20" s="15" t="s">
        <v>32</v>
      </c>
      <c r="D20" s="17"/>
      <c r="G20" s="49" t="s">
        <v>117</v>
      </c>
      <c r="H20" s="65"/>
    </row>
    <row r="21" spans="3:9">
      <c r="C21" s="15" t="s">
        <v>33</v>
      </c>
      <c r="D21" s="17"/>
      <c r="G21" s="49" t="s">
        <v>118</v>
      </c>
      <c r="H21" s="65"/>
    </row>
    <row r="22" spans="3:9">
      <c r="C22" s="15" t="s">
        <v>34</v>
      </c>
      <c r="D22" s="26"/>
      <c r="H22" s="65"/>
    </row>
    <row r="23" spans="3:9">
      <c r="C23" s="15" t="s">
        <v>35</v>
      </c>
      <c r="D23" s="26"/>
      <c r="H23" s="65"/>
    </row>
    <row r="24" spans="3:9">
      <c r="C24" s="15" t="s">
        <v>92</v>
      </c>
      <c r="D24" s="6"/>
    </row>
    <row r="25" spans="3:9">
      <c r="C25" s="15" t="s">
        <v>36</v>
      </c>
      <c r="D25" s="17"/>
    </row>
    <row r="26" spans="3:9" s="33" customFormat="1">
      <c r="C26" s="15" t="s">
        <v>37</v>
      </c>
      <c r="D26" s="17"/>
    </row>
    <row r="28" spans="3:9">
      <c r="C28"/>
      <c r="D28"/>
      <c r="E28"/>
      <c r="F28"/>
      <c r="G28"/>
      <c r="H28"/>
      <c r="I28"/>
    </row>
    <row r="29" spans="3:9">
      <c r="C29"/>
      <c r="D29"/>
      <c r="E29"/>
      <c r="F29"/>
      <c r="G29"/>
      <c r="H29"/>
      <c r="I29"/>
    </row>
    <row r="30" spans="3:9">
      <c r="C30"/>
      <c r="D30"/>
      <c r="E30"/>
      <c r="F30"/>
      <c r="G30"/>
      <c r="H30"/>
      <c r="I30"/>
    </row>
    <row r="31" spans="3:9">
      <c r="C31"/>
      <c r="D31"/>
      <c r="E31"/>
      <c r="F31"/>
      <c r="G31"/>
      <c r="H31"/>
      <c r="I31"/>
    </row>
    <row r="32" spans="3:9">
      <c r="C32"/>
      <c r="D32"/>
      <c r="E32"/>
      <c r="F32"/>
      <c r="G32"/>
      <c r="H32"/>
      <c r="I32"/>
    </row>
    <row r="33" spans="3:9">
      <c r="C33"/>
      <c r="D33"/>
      <c r="E33"/>
      <c r="F33"/>
      <c r="G33"/>
      <c r="H33"/>
      <c r="I33"/>
    </row>
    <row r="34" spans="3:9">
      <c r="C34"/>
      <c r="D34"/>
      <c r="E34"/>
      <c r="F34"/>
      <c r="G34"/>
      <c r="H34"/>
      <c r="I34"/>
    </row>
    <row r="35" spans="3:9">
      <c r="C35"/>
      <c r="D35"/>
      <c r="E35"/>
      <c r="F35"/>
      <c r="G35"/>
      <c r="H35"/>
      <c r="I35"/>
    </row>
    <row r="36" spans="3:9">
      <c r="C36"/>
      <c r="D36"/>
      <c r="E36"/>
      <c r="F36"/>
      <c r="G36"/>
      <c r="H36"/>
      <c r="I36"/>
    </row>
    <row r="37" spans="3:9">
      <c r="C37"/>
      <c r="D37"/>
      <c r="E37"/>
      <c r="F37"/>
      <c r="G37"/>
      <c r="H37"/>
      <c r="I37"/>
    </row>
    <row r="38" spans="3:9">
      <c r="C38"/>
      <c r="D38"/>
      <c r="E38"/>
      <c r="F38"/>
      <c r="G38"/>
      <c r="H38"/>
      <c r="I38"/>
    </row>
    <row r="39" spans="3:9">
      <c r="C39"/>
      <c r="D39"/>
      <c r="E39"/>
      <c r="F39"/>
      <c r="G39"/>
      <c r="H39"/>
      <c r="I39"/>
    </row>
    <row r="40" spans="3:9">
      <c r="C40"/>
      <c r="D40"/>
      <c r="E40"/>
      <c r="F40"/>
      <c r="G40"/>
      <c r="H40"/>
      <c r="I40"/>
    </row>
    <row r="41" spans="3:9">
      <c r="C41"/>
      <c r="D41"/>
      <c r="E41"/>
      <c r="F41"/>
      <c r="G41"/>
      <c r="H41"/>
      <c r="I41"/>
    </row>
    <row r="42" spans="3:9">
      <c r="C42"/>
      <c r="D42"/>
      <c r="E42"/>
      <c r="F42"/>
      <c r="G42"/>
      <c r="H42"/>
      <c r="I42"/>
    </row>
    <row r="43" spans="3:9">
      <c r="C43"/>
      <c r="D43"/>
      <c r="E43"/>
      <c r="F43"/>
      <c r="G43"/>
      <c r="H43"/>
      <c r="I43"/>
    </row>
    <row r="44" spans="3:9">
      <c r="C44"/>
      <c r="D44"/>
      <c r="E44"/>
      <c r="F44"/>
      <c r="G44"/>
      <c r="H44"/>
      <c r="I44"/>
    </row>
    <row r="49" spans="11:24" ht="15.75" customHeight="1"/>
    <row r="50" spans="11:24" ht="15.75" customHeight="1"/>
    <row r="51" spans="11:24" ht="15.75" customHeight="1"/>
    <row r="52" spans="11:24" ht="15.75" customHeight="1"/>
    <row r="54" spans="11:24">
      <c r="K54" s="27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</row>
    <row r="55" spans="11:24">
      <c r="K55" s="27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</row>
  </sheetData>
  <mergeCells count="4">
    <mergeCell ref="K5:Q5"/>
    <mergeCell ref="S5:Y5"/>
    <mergeCell ref="C5:I5"/>
    <mergeCell ref="C2:Y3"/>
  </mergeCells>
  <conditionalFormatting sqref="L54:X55">
    <cfRule type="cellIs" dxfId="80" priority="1" stopIfTrue="1" operator="equal">
      <formula>"n.d."</formula>
    </cfRule>
    <cfRule type="cellIs" dxfId="79" priority="2" stopIfTrue="1" operator="equal">
      <formula>0</formula>
    </cfRule>
    <cfRule type="cellIs" dxfId="78" priority="3" stopIfTrue="1" operator="greaterThan">
      <formula>0</formula>
    </cfRule>
    <cfRule type="cellIs" dxfId="77" priority="4" stopIfTrue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C3:X56"/>
  <sheetViews>
    <sheetView zoomScaleNormal="100" workbookViewId="0">
      <selection activeCell="C4" sqref="C4:F4"/>
    </sheetView>
  </sheetViews>
  <sheetFormatPr defaultRowHeight="15"/>
  <cols>
    <col min="1" max="2" width="9.140625" style="58"/>
    <col min="3" max="3" width="12" style="4" bestFit="1" customWidth="1"/>
    <col min="4" max="4" width="7" style="4" bestFit="1" customWidth="1"/>
    <col min="5" max="5" width="4.5703125" style="4" bestFit="1" customWidth="1"/>
    <col min="6" max="6" width="15.5703125" style="4" bestFit="1" customWidth="1"/>
    <col min="7" max="7" width="7.140625" style="4" bestFit="1" customWidth="1"/>
    <col min="8" max="8" width="17.42578125" style="4" bestFit="1" customWidth="1"/>
    <col min="9" max="9" width="17.28515625" style="4" bestFit="1" customWidth="1"/>
    <col min="10" max="10" width="9.42578125" style="4" bestFit="1" customWidth="1"/>
    <col min="11" max="11" width="11.28515625" style="5" bestFit="1" customWidth="1"/>
    <col min="12" max="12" width="9.7109375" style="6" customWidth="1"/>
    <col min="13" max="13" width="8.5703125" style="6" bestFit="1" customWidth="1"/>
    <col min="14" max="14" width="9.28515625" style="6" bestFit="1" customWidth="1"/>
    <col min="15" max="15" width="12" style="6" bestFit="1" customWidth="1"/>
    <col min="16" max="16" width="9.28515625" style="7" bestFit="1" customWidth="1"/>
    <col min="17" max="17" width="6.7109375" style="8" bestFit="1" customWidth="1"/>
    <col min="18" max="18" width="9.42578125" style="58" bestFit="1" customWidth="1"/>
    <col min="19" max="19" width="4.7109375" style="6" bestFit="1" customWidth="1"/>
    <col min="20" max="20" width="10.7109375" style="7" customWidth="1"/>
    <col min="21" max="21" width="10.5703125" style="7" bestFit="1" customWidth="1"/>
    <col min="22" max="22" width="8" style="58" bestFit="1" customWidth="1"/>
    <col min="23" max="16384" width="9.140625" style="58"/>
  </cols>
  <sheetData>
    <row r="3" spans="3:24" ht="15" customHeight="1">
      <c r="C3" s="128" t="s">
        <v>22</v>
      </c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</row>
    <row r="4" spans="3:24">
      <c r="C4" s="127" t="s">
        <v>184</v>
      </c>
      <c r="D4" s="127"/>
      <c r="E4" s="127"/>
      <c r="F4" s="127"/>
      <c r="K4" s="53"/>
      <c r="L4" s="54"/>
      <c r="M4" s="54"/>
      <c r="N4" s="54"/>
      <c r="O4" s="54"/>
      <c r="P4" s="55"/>
      <c r="Q4" s="56"/>
      <c r="R4" s="52"/>
      <c r="S4" s="54"/>
      <c r="T4" s="55"/>
      <c r="U4" s="55"/>
      <c r="V4" s="52"/>
    </row>
    <row r="5" spans="3:24" ht="30" customHeight="1">
      <c r="C5" s="59" t="s">
        <v>1</v>
      </c>
      <c r="D5" s="59" t="s">
        <v>2</v>
      </c>
      <c r="E5" s="59" t="s">
        <v>3</v>
      </c>
      <c r="F5" s="59" t="s">
        <v>4</v>
      </c>
      <c r="G5" s="59" t="s">
        <v>5</v>
      </c>
      <c r="H5" s="59" t="s">
        <v>6</v>
      </c>
      <c r="I5" s="59" t="s">
        <v>7</v>
      </c>
      <c r="J5" s="59" t="s">
        <v>8</v>
      </c>
      <c r="K5" s="60" t="s">
        <v>9</v>
      </c>
      <c r="L5" s="61" t="s">
        <v>10</v>
      </c>
      <c r="M5" s="61" t="s">
        <v>11</v>
      </c>
      <c r="N5" s="61" t="s">
        <v>12</v>
      </c>
      <c r="O5" s="61" t="s">
        <v>13</v>
      </c>
      <c r="P5" s="62" t="s">
        <v>14</v>
      </c>
      <c r="Q5" s="63" t="s">
        <v>15</v>
      </c>
      <c r="R5" s="59" t="s">
        <v>23</v>
      </c>
      <c r="S5" s="61" t="s">
        <v>24</v>
      </c>
      <c r="T5" s="62" t="s">
        <v>25</v>
      </c>
      <c r="U5" s="62" t="s">
        <v>26</v>
      </c>
      <c r="V5" s="59" t="s">
        <v>20</v>
      </c>
    </row>
    <row r="6" spans="3:24">
      <c r="K6" s="53"/>
      <c r="L6" s="54"/>
      <c r="M6" s="54"/>
      <c r="N6" s="54"/>
      <c r="O6" s="54"/>
      <c r="P6" s="55"/>
      <c r="Q6" s="56"/>
      <c r="R6" s="52"/>
      <c r="S6" s="54"/>
      <c r="T6" s="55"/>
      <c r="U6" s="55"/>
      <c r="V6" s="52"/>
    </row>
    <row r="7" spans="3:24">
      <c r="K7" s="53"/>
      <c r="L7" s="54"/>
      <c r="M7" s="54"/>
      <c r="N7" s="54"/>
      <c r="O7" s="54"/>
      <c r="P7" s="55"/>
      <c r="Q7" s="56"/>
      <c r="R7" s="52"/>
      <c r="S7" s="54"/>
      <c r="T7" s="55"/>
      <c r="U7" s="55"/>
      <c r="V7" s="52"/>
    </row>
    <row r="8" spans="3:24">
      <c r="K8" s="53"/>
      <c r="L8" s="54"/>
      <c r="M8" s="54"/>
      <c r="N8" s="54"/>
      <c r="O8" s="54"/>
      <c r="P8" s="55"/>
      <c r="Q8" s="56"/>
      <c r="R8" s="52"/>
      <c r="S8" s="54"/>
      <c r="T8" s="55"/>
      <c r="U8" s="55"/>
      <c r="V8" s="52"/>
    </row>
    <row r="9" spans="3:24">
      <c r="K9" s="53"/>
      <c r="L9" s="54"/>
      <c r="M9" s="54"/>
      <c r="N9" s="54"/>
      <c r="O9" s="54"/>
      <c r="P9" s="55"/>
      <c r="Q9" s="56"/>
      <c r="R9" s="52"/>
      <c r="S9" s="54"/>
      <c r="T9" s="55"/>
      <c r="U9" s="55"/>
      <c r="V9" s="52"/>
    </row>
    <row r="10" spans="3:24">
      <c r="K10" s="53"/>
      <c r="L10" s="54"/>
      <c r="M10" s="54"/>
      <c r="N10" s="54"/>
      <c r="O10" s="54"/>
      <c r="P10" s="55"/>
      <c r="Q10" s="56"/>
      <c r="R10" s="52"/>
      <c r="S10" s="54"/>
      <c r="T10" s="55"/>
      <c r="U10" s="55"/>
      <c r="V10" s="52"/>
    </row>
    <row r="11" spans="3:24">
      <c r="K11" s="53"/>
      <c r="L11" s="54"/>
      <c r="M11" s="54"/>
      <c r="N11" s="54"/>
      <c r="O11" s="54"/>
      <c r="P11" s="55"/>
      <c r="Q11" s="56"/>
      <c r="R11" s="52"/>
      <c r="S11" s="54"/>
      <c r="T11" s="55"/>
      <c r="U11" s="55"/>
      <c r="V11" s="52"/>
    </row>
    <row r="12" spans="3:24">
      <c r="K12" s="53"/>
      <c r="L12" s="54"/>
      <c r="M12" s="54"/>
      <c r="N12" s="54"/>
      <c r="O12" s="54"/>
      <c r="P12" s="55"/>
      <c r="Q12" s="56"/>
      <c r="R12" s="52"/>
      <c r="S12" s="54"/>
      <c r="T12" s="55"/>
      <c r="U12" s="55"/>
      <c r="V12" s="52"/>
    </row>
    <row r="13" spans="3:24">
      <c r="K13" s="53"/>
      <c r="L13" s="54"/>
      <c r="M13" s="54"/>
      <c r="N13" s="54"/>
      <c r="O13" s="54"/>
      <c r="P13" s="55"/>
      <c r="Q13" s="56"/>
      <c r="R13" s="52"/>
      <c r="S13" s="54"/>
      <c r="T13" s="55"/>
      <c r="U13" s="55"/>
      <c r="V13" s="52"/>
    </row>
    <row r="14" spans="3:24">
      <c r="K14" s="53"/>
      <c r="L14" s="54"/>
      <c r="M14" s="54"/>
      <c r="N14" s="54"/>
      <c r="O14" s="54"/>
      <c r="P14" s="55"/>
      <c r="Q14" s="56"/>
      <c r="R14" s="52"/>
      <c r="S14" s="54"/>
      <c r="T14" s="55"/>
      <c r="U14" s="55"/>
      <c r="V14" s="52"/>
    </row>
    <row r="15" spans="3:24">
      <c r="K15" s="53"/>
      <c r="L15" s="54"/>
      <c r="M15" s="54"/>
      <c r="N15" s="54"/>
      <c r="O15" s="54"/>
      <c r="P15" s="55"/>
      <c r="Q15" s="56"/>
      <c r="R15" s="52"/>
      <c r="S15" s="54"/>
      <c r="T15" s="55"/>
      <c r="U15" s="55"/>
      <c r="V15" s="52"/>
    </row>
    <row r="16" spans="3:24">
      <c r="K16" s="53"/>
      <c r="L16" s="54"/>
      <c r="M16" s="54"/>
      <c r="N16" s="54"/>
      <c r="O16" s="54"/>
      <c r="P16" s="55"/>
      <c r="Q16" s="56"/>
      <c r="R16" s="52"/>
      <c r="S16" s="54"/>
      <c r="T16" s="55"/>
      <c r="U16" s="55"/>
      <c r="V16" s="52"/>
    </row>
    <row r="17" spans="11:22">
      <c r="K17" s="53"/>
      <c r="L17" s="54"/>
      <c r="M17" s="54"/>
      <c r="N17" s="54"/>
      <c r="O17" s="54"/>
      <c r="P17" s="55"/>
      <c r="Q17" s="56"/>
      <c r="R17" s="52"/>
      <c r="S17" s="54"/>
      <c r="T17" s="55"/>
      <c r="U17" s="55"/>
      <c r="V17" s="52"/>
    </row>
    <row r="18" spans="11:22">
      <c r="K18" s="53"/>
      <c r="L18" s="54"/>
      <c r="M18" s="54"/>
      <c r="N18" s="54"/>
      <c r="O18" s="54"/>
      <c r="P18" s="55"/>
      <c r="Q18" s="56"/>
      <c r="R18" s="52"/>
      <c r="S18" s="54"/>
      <c r="T18" s="55"/>
      <c r="U18" s="55"/>
      <c r="V18" s="52"/>
    </row>
    <row r="19" spans="11:22">
      <c r="K19" s="53"/>
      <c r="L19" s="54"/>
      <c r="M19" s="54"/>
      <c r="N19" s="54"/>
      <c r="O19" s="54"/>
      <c r="P19" s="55"/>
      <c r="Q19" s="56"/>
      <c r="R19" s="52"/>
      <c r="S19" s="54"/>
      <c r="T19" s="55"/>
      <c r="U19" s="55"/>
      <c r="V19" s="52"/>
    </row>
    <row r="20" spans="11:22">
      <c r="K20" s="53"/>
      <c r="L20" s="54"/>
      <c r="M20" s="54"/>
      <c r="N20" s="54"/>
      <c r="O20" s="54"/>
      <c r="P20" s="55"/>
      <c r="Q20" s="56"/>
      <c r="R20" s="52"/>
      <c r="S20" s="54"/>
      <c r="T20" s="55"/>
      <c r="U20" s="55"/>
      <c r="V20" s="52"/>
    </row>
    <row r="21" spans="11:22">
      <c r="K21" s="53"/>
      <c r="L21" s="54"/>
      <c r="M21" s="54"/>
      <c r="N21" s="54"/>
      <c r="O21" s="54"/>
      <c r="P21" s="55"/>
      <c r="Q21" s="56"/>
      <c r="R21" s="52"/>
      <c r="S21" s="54"/>
      <c r="T21" s="55"/>
      <c r="U21" s="55"/>
      <c r="V21" s="52"/>
    </row>
    <row r="22" spans="11:22">
      <c r="K22" s="53"/>
      <c r="L22" s="54"/>
      <c r="M22" s="54"/>
      <c r="N22" s="54"/>
      <c r="O22" s="54"/>
      <c r="P22" s="55"/>
      <c r="Q22" s="56"/>
      <c r="R22" s="52"/>
      <c r="S22" s="54"/>
      <c r="T22" s="55"/>
      <c r="U22" s="55"/>
      <c r="V22" s="52"/>
    </row>
    <row r="23" spans="11:22">
      <c r="K23" s="53"/>
      <c r="L23" s="54"/>
      <c r="M23" s="54"/>
      <c r="N23" s="54"/>
      <c r="O23" s="54"/>
      <c r="P23" s="55"/>
      <c r="Q23" s="56"/>
      <c r="R23" s="52"/>
      <c r="S23" s="54"/>
      <c r="T23" s="55"/>
      <c r="U23" s="55"/>
      <c r="V23" s="52"/>
    </row>
    <row r="24" spans="11:22">
      <c r="K24" s="53"/>
      <c r="L24" s="54"/>
      <c r="M24" s="54"/>
      <c r="N24" s="54"/>
      <c r="O24" s="54"/>
      <c r="P24" s="55"/>
      <c r="Q24" s="56"/>
      <c r="R24" s="52"/>
      <c r="S24" s="54"/>
      <c r="T24" s="55"/>
      <c r="U24" s="55"/>
      <c r="V24" s="52"/>
    </row>
    <row r="25" spans="11:22">
      <c r="K25" s="53"/>
      <c r="L25" s="54"/>
      <c r="M25" s="54"/>
      <c r="N25" s="54"/>
      <c r="O25" s="54"/>
      <c r="P25" s="55"/>
      <c r="Q25" s="56"/>
      <c r="R25" s="52"/>
      <c r="S25" s="54"/>
      <c r="T25" s="55"/>
      <c r="U25" s="55"/>
      <c r="V25" s="52"/>
    </row>
    <row r="26" spans="11:22">
      <c r="K26" s="53"/>
      <c r="L26" s="54"/>
      <c r="M26" s="54"/>
      <c r="N26" s="54"/>
      <c r="O26" s="54"/>
      <c r="P26" s="55"/>
      <c r="Q26" s="56"/>
      <c r="R26" s="52"/>
      <c r="S26" s="54"/>
      <c r="T26" s="55"/>
      <c r="U26" s="55"/>
      <c r="V26" s="52"/>
    </row>
    <row r="27" spans="11:22">
      <c r="K27" s="53"/>
      <c r="L27" s="54"/>
      <c r="M27" s="54"/>
      <c r="N27" s="54"/>
      <c r="O27" s="54"/>
      <c r="P27" s="55"/>
      <c r="Q27" s="56"/>
      <c r="R27" s="52"/>
      <c r="S27" s="54"/>
      <c r="T27" s="55"/>
      <c r="U27" s="55"/>
      <c r="V27" s="52"/>
    </row>
    <row r="28" spans="11:22">
      <c r="K28" s="53"/>
      <c r="L28" s="54"/>
      <c r="M28" s="54"/>
      <c r="N28" s="54"/>
      <c r="O28" s="54"/>
      <c r="P28" s="55"/>
      <c r="Q28" s="56"/>
      <c r="R28" s="52"/>
      <c r="S28" s="54"/>
      <c r="T28" s="55"/>
      <c r="U28" s="55"/>
      <c r="V28" s="52"/>
    </row>
    <row r="29" spans="11:22">
      <c r="K29" s="53"/>
      <c r="L29" s="54"/>
      <c r="M29" s="54"/>
      <c r="N29" s="54"/>
      <c r="O29" s="54"/>
      <c r="P29" s="55"/>
      <c r="Q29" s="56"/>
      <c r="R29" s="52"/>
      <c r="S29" s="54"/>
      <c r="T29" s="55"/>
      <c r="U29" s="55"/>
      <c r="V29" s="52"/>
    </row>
    <row r="30" spans="11:22">
      <c r="K30" s="53"/>
      <c r="L30" s="54"/>
      <c r="M30" s="54"/>
      <c r="N30" s="54"/>
      <c r="O30" s="54"/>
      <c r="P30" s="55"/>
      <c r="Q30" s="56"/>
      <c r="R30" s="52"/>
      <c r="S30" s="54"/>
      <c r="T30" s="55"/>
      <c r="U30" s="55"/>
      <c r="V30" s="52"/>
    </row>
    <row r="31" spans="11:22">
      <c r="K31" s="53"/>
      <c r="L31" s="54"/>
      <c r="M31" s="54"/>
      <c r="N31" s="54"/>
      <c r="O31" s="54"/>
      <c r="P31" s="55"/>
      <c r="Q31" s="56"/>
      <c r="R31" s="52"/>
      <c r="S31" s="54"/>
      <c r="T31" s="55"/>
      <c r="U31" s="55"/>
      <c r="V31" s="52"/>
    </row>
    <row r="32" spans="11:22">
      <c r="K32" s="53"/>
      <c r="L32" s="54"/>
      <c r="M32" s="54"/>
      <c r="N32" s="54"/>
      <c r="O32" s="54"/>
      <c r="P32" s="55"/>
      <c r="Q32" s="56"/>
      <c r="R32" s="52"/>
      <c r="S32" s="54"/>
      <c r="T32" s="55"/>
      <c r="U32" s="55"/>
      <c r="V32" s="52"/>
    </row>
    <row r="33" spans="11:22">
      <c r="K33" s="53"/>
      <c r="L33" s="54"/>
      <c r="M33" s="54"/>
      <c r="N33" s="54"/>
      <c r="O33" s="54"/>
      <c r="P33" s="55"/>
      <c r="Q33" s="56"/>
      <c r="R33" s="52"/>
      <c r="S33" s="54"/>
      <c r="T33" s="55"/>
      <c r="U33" s="55"/>
      <c r="V33" s="52"/>
    </row>
    <row r="34" spans="11:22">
      <c r="K34" s="53"/>
      <c r="L34" s="54"/>
      <c r="M34" s="54"/>
      <c r="N34" s="54"/>
      <c r="O34" s="54"/>
      <c r="P34" s="55"/>
      <c r="Q34" s="56"/>
      <c r="R34" s="52"/>
      <c r="S34" s="54"/>
      <c r="T34" s="55"/>
      <c r="U34" s="55"/>
      <c r="V34" s="52"/>
    </row>
    <row r="35" spans="11:22">
      <c r="K35" s="53"/>
      <c r="L35" s="54"/>
      <c r="M35" s="54"/>
      <c r="N35" s="54"/>
      <c r="O35" s="54"/>
      <c r="P35" s="55"/>
      <c r="Q35" s="56"/>
      <c r="R35" s="52"/>
      <c r="S35" s="54"/>
      <c r="T35" s="55"/>
      <c r="U35" s="55"/>
      <c r="V35" s="52"/>
    </row>
    <row r="36" spans="11:22">
      <c r="K36" s="53"/>
      <c r="L36" s="54"/>
      <c r="M36" s="54"/>
      <c r="N36" s="54"/>
      <c r="O36" s="54"/>
      <c r="P36" s="55"/>
      <c r="Q36" s="56"/>
      <c r="R36" s="52"/>
      <c r="S36" s="54"/>
      <c r="T36" s="55"/>
      <c r="U36" s="55"/>
      <c r="V36" s="52"/>
    </row>
    <row r="37" spans="11:22">
      <c r="K37" s="53"/>
      <c r="L37" s="54"/>
      <c r="M37" s="54"/>
      <c r="N37" s="54"/>
      <c r="O37" s="54"/>
      <c r="P37" s="55"/>
      <c r="Q37" s="56"/>
      <c r="R37" s="52"/>
      <c r="S37" s="54"/>
      <c r="T37" s="55"/>
      <c r="U37" s="55"/>
      <c r="V37" s="52"/>
    </row>
    <row r="38" spans="11:22">
      <c r="K38" s="53"/>
      <c r="L38" s="54"/>
      <c r="M38" s="54"/>
      <c r="N38" s="54"/>
      <c r="O38" s="54"/>
      <c r="P38" s="55"/>
      <c r="Q38" s="56"/>
      <c r="R38" s="52"/>
      <c r="S38" s="54"/>
      <c r="T38" s="55"/>
      <c r="U38" s="55"/>
      <c r="V38" s="52"/>
    </row>
    <row r="39" spans="11:22">
      <c r="K39" s="53"/>
      <c r="L39" s="54"/>
      <c r="M39" s="54"/>
      <c r="N39" s="54"/>
      <c r="O39" s="54"/>
      <c r="P39" s="55"/>
      <c r="Q39" s="56"/>
      <c r="R39" s="52"/>
      <c r="S39" s="54"/>
      <c r="T39" s="55"/>
      <c r="U39" s="55"/>
      <c r="V39" s="52"/>
    </row>
    <row r="40" spans="11:22">
      <c r="K40" s="53"/>
      <c r="L40" s="54"/>
      <c r="M40" s="54"/>
      <c r="N40" s="54"/>
      <c r="O40" s="54"/>
      <c r="P40" s="55"/>
      <c r="Q40" s="56"/>
      <c r="R40" s="52"/>
      <c r="S40" s="54"/>
      <c r="T40" s="55"/>
      <c r="U40" s="55"/>
      <c r="V40" s="52"/>
    </row>
    <row r="41" spans="11:22">
      <c r="K41" s="53"/>
      <c r="L41" s="54"/>
      <c r="M41" s="54"/>
      <c r="N41" s="54"/>
      <c r="O41" s="54"/>
      <c r="P41" s="55"/>
      <c r="Q41" s="56"/>
      <c r="R41" s="52"/>
      <c r="S41" s="54"/>
      <c r="T41" s="55"/>
      <c r="U41" s="55"/>
      <c r="V41" s="52"/>
    </row>
    <row r="42" spans="11:22">
      <c r="K42" s="53"/>
      <c r="L42" s="54"/>
      <c r="M42" s="54"/>
      <c r="N42" s="54"/>
      <c r="O42" s="54"/>
      <c r="P42" s="55"/>
      <c r="Q42" s="56"/>
      <c r="R42" s="52"/>
      <c r="S42" s="54"/>
      <c r="T42" s="55"/>
      <c r="U42" s="55"/>
      <c r="V42" s="52"/>
    </row>
    <row r="43" spans="11:22">
      <c r="K43" s="53"/>
      <c r="L43" s="54"/>
      <c r="M43" s="54"/>
      <c r="N43" s="54"/>
      <c r="O43" s="54"/>
      <c r="P43" s="55"/>
      <c r="Q43" s="56"/>
      <c r="R43" s="52"/>
      <c r="S43" s="54"/>
      <c r="T43" s="55"/>
      <c r="U43" s="55"/>
      <c r="V43" s="52"/>
    </row>
    <row r="44" spans="11:22">
      <c r="K44" s="53"/>
      <c r="L44" s="54"/>
      <c r="M44" s="54"/>
      <c r="N44" s="54"/>
      <c r="O44" s="54"/>
      <c r="P44" s="55"/>
      <c r="Q44" s="56"/>
      <c r="R44" s="52"/>
      <c r="S44" s="54"/>
      <c r="T44" s="55"/>
      <c r="U44" s="55"/>
      <c r="V44" s="52"/>
    </row>
    <row r="45" spans="11:22">
      <c r="K45" s="53"/>
      <c r="L45" s="54"/>
      <c r="M45" s="54"/>
      <c r="N45" s="54"/>
      <c r="O45" s="54"/>
      <c r="P45" s="55"/>
      <c r="Q45" s="56"/>
      <c r="R45" s="52"/>
      <c r="S45" s="54"/>
      <c r="T45" s="55"/>
      <c r="U45" s="55"/>
      <c r="V45" s="52"/>
    </row>
    <row r="46" spans="11:22">
      <c r="K46" s="53"/>
      <c r="L46" s="54"/>
      <c r="M46" s="54"/>
      <c r="N46" s="54"/>
      <c r="O46" s="54"/>
      <c r="P46" s="55"/>
      <c r="Q46" s="56"/>
      <c r="R46" s="52"/>
      <c r="S46" s="54"/>
      <c r="T46" s="55"/>
      <c r="U46" s="55"/>
      <c r="V46" s="52"/>
    </row>
    <row r="47" spans="11:22">
      <c r="K47" s="53"/>
      <c r="L47" s="54"/>
      <c r="M47" s="54"/>
      <c r="N47" s="54"/>
      <c r="O47" s="54"/>
      <c r="P47" s="55"/>
      <c r="Q47" s="56"/>
      <c r="R47" s="52"/>
      <c r="S47" s="54"/>
      <c r="T47" s="55"/>
      <c r="U47" s="55"/>
      <c r="V47" s="52"/>
    </row>
    <row r="48" spans="11:22">
      <c r="K48" s="53"/>
      <c r="L48" s="54"/>
      <c r="M48" s="54"/>
      <c r="N48" s="54"/>
      <c r="O48" s="54"/>
      <c r="P48" s="55"/>
      <c r="Q48" s="56"/>
      <c r="R48" s="52"/>
      <c r="S48" s="54"/>
      <c r="T48" s="55"/>
      <c r="U48" s="55"/>
      <c r="V48" s="52"/>
    </row>
    <row r="49" spans="11:22">
      <c r="K49" s="53"/>
      <c r="L49" s="54"/>
      <c r="M49" s="54"/>
      <c r="N49" s="54"/>
      <c r="O49" s="54"/>
      <c r="P49" s="55"/>
      <c r="Q49" s="56"/>
      <c r="R49" s="52"/>
      <c r="S49" s="54"/>
      <c r="T49" s="55"/>
      <c r="U49" s="55"/>
      <c r="V49" s="52"/>
    </row>
    <row r="50" spans="11:22">
      <c r="K50" s="53"/>
      <c r="L50" s="54"/>
      <c r="M50" s="54"/>
      <c r="N50" s="54"/>
      <c r="O50" s="54"/>
      <c r="P50" s="55"/>
      <c r="Q50" s="56"/>
      <c r="R50" s="52"/>
      <c r="S50" s="54"/>
      <c r="T50" s="55"/>
      <c r="U50" s="55"/>
      <c r="V50" s="52"/>
    </row>
    <row r="51" spans="11:22">
      <c r="K51" s="53"/>
      <c r="L51" s="54"/>
      <c r="M51" s="54"/>
      <c r="N51" s="54"/>
      <c r="O51" s="54"/>
      <c r="P51" s="55"/>
      <c r="Q51" s="56"/>
      <c r="R51" s="52"/>
      <c r="S51" s="54"/>
      <c r="T51" s="55"/>
      <c r="U51" s="55"/>
      <c r="V51" s="52"/>
    </row>
    <row r="52" spans="11:22">
      <c r="K52" s="53"/>
      <c r="L52" s="54"/>
      <c r="M52" s="54"/>
      <c r="N52" s="54"/>
      <c r="O52" s="54"/>
      <c r="P52" s="55"/>
      <c r="Q52" s="56"/>
      <c r="R52" s="52"/>
      <c r="S52" s="54"/>
      <c r="T52" s="55"/>
      <c r="U52" s="55"/>
      <c r="V52" s="52"/>
    </row>
    <row r="53" spans="11:22">
      <c r="K53" s="53"/>
      <c r="L53" s="54"/>
      <c r="M53" s="54"/>
      <c r="N53" s="54"/>
      <c r="O53" s="54"/>
      <c r="P53" s="55"/>
      <c r="Q53" s="56"/>
      <c r="R53" s="52"/>
      <c r="S53" s="54"/>
      <c r="T53" s="55"/>
      <c r="U53" s="55"/>
      <c r="V53" s="52"/>
    </row>
    <row r="54" spans="11:22">
      <c r="K54" s="53"/>
      <c r="L54" s="54"/>
      <c r="M54" s="54"/>
      <c r="N54" s="54"/>
      <c r="O54" s="54"/>
      <c r="P54" s="55"/>
      <c r="Q54" s="56"/>
      <c r="R54" s="52"/>
      <c r="S54" s="54"/>
      <c r="T54" s="55"/>
      <c r="U54" s="55"/>
      <c r="V54" s="52"/>
    </row>
    <row r="55" spans="11:22">
      <c r="K55" s="53"/>
      <c r="L55" s="54"/>
      <c r="M55" s="54"/>
      <c r="N55" s="54"/>
      <c r="O55" s="54"/>
      <c r="P55" s="55"/>
      <c r="Q55" s="56"/>
      <c r="R55" s="52"/>
      <c r="S55" s="54"/>
      <c r="T55" s="55"/>
      <c r="U55" s="55"/>
      <c r="V55" s="52"/>
    </row>
    <row r="56" spans="11:22">
      <c r="K56" s="53"/>
      <c r="L56" s="54"/>
      <c r="M56" s="54"/>
      <c r="N56" s="54"/>
      <c r="O56" s="54"/>
      <c r="P56" s="55"/>
      <c r="Q56" s="56"/>
      <c r="R56" s="52"/>
      <c r="S56" s="54"/>
      <c r="T56" s="55"/>
      <c r="U56" s="55"/>
      <c r="V56" s="52"/>
    </row>
  </sheetData>
  <mergeCells count="2">
    <mergeCell ref="C3:X3"/>
    <mergeCell ref="C4:F4"/>
  </mergeCells>
  <conditionalFormatting sqref="L6:L1048576">
    <cfRule type="cellIs" dxfId="76" priority="1" stopIfTrue="1" operator="greaterThan">
      <formula>5/100</formula>
    </cfRule>
  </conditionalFormatting>
  <conditionalFormatting sqref="M6:O1048576">
    <cfRule type="cellIs" dxfId="75" priority="2" stopIfTrue="1" operator="equal">
      <formula>"n.d."</formula>
    </cfRule>
    <cfRule type="cellIs" dxfId="74" priority="3" stopIfTrue="1" operator="equal">
      <formula>0</formula>
    </cfRule>
    <cfRule type="cellIs" dxfId="73" priority="4" stopIfTrue="1" operator="greaterThan">
      <formula>0</formula>
    </cfRule>
    <cfRule type="cellIs" dxfId="72" priority="5" stopIfTrue="1" operator="lessThan">
      <formula>0</formula>
    </cfRule>
  </conditionalFormatting>
  <pageMargins left="0.70866141732283461" right="0.70866141732283461" top="0.19685039370078741" bottom="0.74803149606299213" header="0" footer="0.31496062992125978"/>
  <pageSetup paperSize="9" scale="28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C3:Y53"/>
  <sheetViews>
    <sheetView topLeftCell="B1" zoomScale="80" zoomScaleNormal="80" workbookViewId="0">
      <selection activeCell="O3" sqref="O3:Y3"/>
    </sheetView>
  </sheetViews>
  <sheetFormatPr defaultRowHeight="15"/>
  <cols>
    <col min="1" max="16384" width="9.140625" style="67"/>
  </cols>
  <sheetData>
    <row r="3" spans="3:25" ht="15" customHeight="1">
      <c r="C3" s="121" t="s">
        <v>119</v>
      </c>
      <c r="D3" s="121"/>
      <c r="E3" s="121"/>
      <c r="F3" s="121"/>
      <c r="G3" s="121"/>
      <c r="H3" s="121"/>
      <c r="I3" s="121"/>
      <c r="J3" s="121"/>
      <c r="K3" s="121"/>
      <c r="L3" s="121"/>
      <c r="M3" s="121"/>
      <c r="O3" s="121" t="s">
        <v>120</v>
      </c>
      <c r="P3" s="121"/>
      <c r="Q3" s="121"/>
      <c r="R3" s="121"/>
      <c r="S3" s="121"/>
      <c r="T3" s="121"/>
      <c r="U3" s="121"/>
      <c r="V3" s="121"/>
      <c r="W3" s="121"/>
      <c r="X3" s="121"/>
      <c r="Y3" s="121"/>
    </row>
    <row r="27" spans="3:25">
      <c r="C27" s="121" t="s">
        <v>121</v>
      </c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O27" s="121" t="s">
        <v>122</v>
      </c>
      <c r="P27" s="121"/>
      <c r="Q27" s="121"/>
      <c r="R27" s="121"/>
      <c r="S27" s="121"/>
      <c r="T27" s="121"/>
      <c r="U27" s="121"/>
      <c r="V27" s="121"/>
      <c r="W27" s="121"/>
      <c r="X27" s="121"/>
      <c r="Y27" s="121"/>
    </row>
    <row r="50" spans="25:25">
      <c r="Y50" s="73" t="s">
        <v>123</v>
      </c>
    </row>
    <row r="53" spans="25:25">
      <c r="Y53" s="78" t="s">
        <v>128</v>
      </c>
    </row>
  </sheetData>
  <mergeCells count="4">
    <mergeCell ref="C3:M3"/>
    <mergeCell ref="O3:Y3"/>
    <mergeCell ref="C27:M27"/>
    <mergeCell ref="O27:Y27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O1"/>
  <sheetViews>
    <sheetView zoomScale="10" zoomScaleNormal="10" workbookViewId="0">
      <selection activeCell="CS270" sqref="CS270"/>
    </sheetView>
  </sheetViews>
  <sheetFormatPr defaultRowHeight="15"/>
  <cols>
    <col min="15" max="15" width="9.7109375" style="3" customWidth="1"/>
  </cols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5"/>
  <dimension ref="A1"/>
  <sheetViews>
    <sheetView workbookViewId="0">
      <selection activeCell="P36" sqref="P36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6"/>
  <dimension ref="A1"/>
  <sheetViews>
    <sheetView workbookViewId="0">
      <selection activeCell="P32" sqref="P32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7">
    <pageSetUpPr fitToPage="1"/>
  </sheetPr>
  <dimension ref="C4:W87"/>
  <sheetViews>
    <sheetView workbookViewId="0">
      <selection activeCell="F25" sqref="F25"/>
    </sheetView>
  </sheetViews>
  <sheetFormatPr defaultRowHeight="15"/>
  <cols>
    <col min="1" max="3" width="9.140625" style="77"/>
    <col min="4" max="4" width="4.5703125" style="77" customWidth="1"/>
    <col min="5" max="5" width="5.140625" style="84" bestFit="1" customWidth="1"/>
    <col min="6" max="6" width="9.7109375" style="77" bestFit="1" customWidth="1"/>
    <col min="7" max="7" width="14.42578125" style="77" bestFit="1" customWidth="1"/>
    <col min="8" max="8" width="37.7109375" style="77" customWidth="1"/>
    <col min="9" max="9" width="9.140625" style="77"/>
    <col min="10" max="10" width="7.5703125" style="84" bestFit="1" customWidth="1"/>
    <col min="11" max="11" width="9.7109375" style="77" bestFit="1" customWidth="1"/>
    <col min="12" max="12" width="15.140625" style="77" bestFit="1" customWidth="1"/>
    <col min="13" max="13" width="37.7109375" style="77" customWidth="1"/>
    <col min="14" max="14" width="9.140625" style="77"/>
    <col min="15" max="15" width="5.140625" style="84" bestFit="1" customWidth="1"/>
    <col min="16" max="16" width="9.7109375" style="77" bestFit="1" customWidth="1"/>
    <col min="17" max="17" width="14.42578125" style="77" bestFit="1" customWidth="1"/>
    <col min="18" max="18" width="37.7109375" style="77" customWidth="1"/>
    <col min="19" max="19" width="9.140625" style="77"/>
    <col min="20" max="20" width="7.5703125" style="84" bestFit="1" customWidth="1"/>
    <col min="21" max="21" width="9.7109375" style="77" bestFit="1" customWidth="1"/>
    <col min="22" max="22" width="15.140625" style="77" bestFit="1" customWidth="1"/>
    <col min="23" max="23" width="37.7109375" style="77" customWidth="1"/>
    <col min="24" max="16384" width="9.140625" style="77"/>
  </cols>
  <sheetData>
    <row r="4" spans="3:23" ht="15" customHeight="1">
      <c r="C4" s="129" t="s">
        <v>159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</row>
    <row r="5" spans="3:23" ht="15" customHeight="1"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</row>
    <row r="7" spans="3:23" ht="21">
      <c r="C7" s="130" t="s">
        <v>52</v>
      </c>
      <c r="E7" s="131" t="s">
        <v>149</v>
      </c>
      <c r="F7" s="131"/>
      <c r="G7" s="131"/>
      <c r="H7" s="131"/>
      <c r="I7" s="131"/>
      <c r="J7" s="131"/>
      <c r="K7" s="131"/>
      <c r="L7" s="131"/>
      <c r="M7" s="131"/>
      <c r="O7" s="131" t="s">
        <v>150</v>
      </c>
      <c r="P7" s="131"/>
      <c r="Q7" s="131"/>
      <c r="R7" s="131"/>
      <c r="S7" s="131"/>
      <c r="T7" s="131"/>
      <c r="U7" s="131"/>
      <c r="V7" s="131"/>
      <c r="W7" s="131"/>
    </row>
    <row r="8" spans="3:23" ht="5.0999999999999996" customHeight="1">
      <c r="C8" s="130"/>
      <c r="F8" s="92"/>
      <c r="K8" s="92"/>
      <c r="P8" s="92"/>
      <c r="U8" s="92"/>
    </row>
    <row r="9" spans="3:23">
      <c r="C9" s="130"/>
      <c r="E9" s="90" t="s">
        <v>151</v>
      </c>
      <c r="F9" s="93" t="s">
        <v>152</v>
      </c>
      <c r="G9" s="90" t="s">
        <v>2</v>
      </c>
      <c r="H9" s="90" t="s">
        <v>153</v>
      </c>
      <c r="J9" s="90" t="s">
        <v>154</v>
      </c>
      <c r="K9" s="93" t="s">
        <v>152</v>
      </c>
      <c r="L9" s="90" t="s">
        <v>2</v>
      </c>
      <c r="M9" s="90" t="s">
        <v>153</v>
      </c>
      <c r="O9" s="90" t="s">
        <v>151</v>
      </c>
      <c r="P9" s="93" t="s">
        <v>152</v>
      </c>
      <c r="Q9" s="90" t="s">
        <v>2</v>
      </c>
      <c r="R9" s="90" t="s">
        <v>153</v>
      </c>
      <c r="T9" s="90" t="s">
        <v>154</v>
      </c>
      <c r="U9" s="93" t="s">
        <v>152</v>
      </c>
      <c r="V9" s="90" t="s">
        <v>2</v>
      </c>
      <c r="W9" s="90" t="s">
        <v>153</v>
      </c>
    </row>
    <row r="10" spans="3:23">
      <c r="C10" s="130"/>
      <c r="E10" s="91">
        <v>1</v>
      </c>
      <c r="F10" s="92">
        <f xml:space="preserve"> Equity_market!L2</f>
        <v>0</v>
      </c>
      <c r="G10" s="92">
        <f xml:space="preserve"> Equity_market!M2</f>
        <v>0</v>
      </c>
      <c r="H10" s="92">
        <f xml:space="preserve"> Equity_market!N2</f>
        <v>0</v>
      </c>
      <c r="J10" s="91">
        <v>1</v>
      </c>
      <c r="K10" s="92">
        <f xml:space="preserve"> Equity_market!Q2</f>
        <v>0</v>
      </c>
      <c r="L10" s="92">
        <f xml:space="preserve"> Equity_market!R2</f>
        <v>0</v>
      </c>
      <c r="M10" s="92">
        <f xml:space="preserve"> Equity_market!S2</f>
        <v>0</v>
      </c>
      <c r="O10" s="91">
        <v>1</v>
      </c>
      <c r="P10" s="92">
        <f>+ Equity_market!V2</f>
        <v>0</v>
      </c>
      <c r="Q10" s="92">
        <f>+ Equity_market!W2</f>
        <v>0</v>
      </c>
      <c r="R10" s="92">
        <f>+ Equity_market!X2</f>
        <v>0</v>
      </c>
      <c r="T10" s="91">
        <v>1</v>
      </c>
      <c r="U10" s="92">
        <f>+ Equity_market!AA2</f>
        <v>0</v>
      </c>
      <c r="V10" s="92">
        <f>+ Equity_market!AB2</f>
        <v>0</v>
      </c>
      <c r="W10" s="92">
        <f>+ Equity_market!AC2</f>
        <v>0</v>
      </c>
    </row>
    <row r="11" spans="3:23">
      <c r="C11" s="130"/>
      <c r="E11" s="91">
        <v>2</v>
      </c>
      <c r="F11" s="92">
        <f xml:space="preserve"> Equity_market!L3</f>
        <v>0</v>
      </c>
      <c r="G11" s="92">
        <f xml:space="preserve"> Equity_market!M3</f>
        <v>0</v>
      </c>
      <c r="H11" s="92">
        <f xml:space="preserve"> Equity_market!N3</f>
        <v>0</v>
      </c>
      <c r="J11" s="91">
        <v>2</v>
      </c>
      <c r="K11" s="92">
        <f xml:space="preserve"> Equity_market!Q3</f>
        <v>0</v>
      </c>
      <c r="L11" s="92">
        <f xml:space="preserve"> Equity_market!R3</f>
        <v>0</v>
      </c>
      <c r="M11" s="92">
        <f xml:space="preserve"> Equity_market!S3</f>
        <v>0</v>
      </c>
      <c r="O11" s="91">
        <v>2</v>
      </c>
      <c r="P11" s="92">
        <f>+ Equity_market!V3</f>
        <v>0</v>
      </c>
      <c r="Q11" s="92">
        <f>+ Equity_market!W3</f>
        <v>0</v>
      </c>
      <c r="R11" s="92">
        <f>+ Equity_market!X3</f>
        <v>0</v>
      </c>
      <c r="T11" s="91">
        <v>2</v>
      </c>
      <c r="U11" s="92">
        <f>+ Equity_market!AA3</f>
        <v>0</v>
      </c>
      <c r="V11" s="92">
        <f>+ Equity_market!AB3</f>
        <v>0</v>
      </c>
      <c r="W11" s="92">
        <f>+ Equity_market!AC3</f>
        <v>0</v>
      </c>
    </row>
    <row r="12" spans="3:23">
      <c r="C12" s="130"/>
      <c r="E12" s="91">
        <v>3</v>
      </c>
      <c r="F12" s="92">
        <f xml:space="preserve"> Equity_market!L4</f>
        <v>0</v>
      </c>
      <c r="G12" s="92">
        <f xml:space="preserve"> Equity_market!M4</f>
        <v>0</v>
      </c>
      <c r="H12" s="92">
        <f xml:space="preserve"> Equity_market!N4</f>
        <v>0</v>
      </c>
      <c r="J12" s="91">
        <v>3</v>
      </c>
      <c r="K12" s="92">
        <f xml:space="preserve"> Equity_market!Q4</f>
        <v>0</v>
      </c>
      <c r="L12" s="92">
        <f xml:space="preserve"> Equity_market!R4</f>
        <v>0</v>
      </c>
      <c r="M12" s="92">
        <f xml:space="preserve"> Equity_market!S4</f>
        <v>0</v>
      </c>
      <c r="O12" s="91">
        <v>3</v>
      </c>
      <c r="P12" s="92">
        <f>+ Equity_market!V4</f>
        <v>0</v>
      </c>
      <c r="Q12" s="92">
        <f>+ Equity_market!W4</f>
        <v>0</v>
      </c>
      <c r="R12" s="92">
        <f>+ Equity_market!X4</f>
        <v>0</v>
      </c>
      <c r="T12" s="91">
        <v>3</v>
      </c>
      <c r="U12" s="92">
        <f>+ Equity_market!AA4</f>
        <v>0</v>
      </c>
      <c r="V12" s="92">
        <f>+ Equity_market!AB4</f>
        <v>0</v>
      </c>
      <c r="W12" s="92">
        <f>+ Equity_market!AC4</f>
        <v>0</v>
      </c>
    </row>
    <row r="13" spans="3:23">
      <c r="C13" s="130"/>
      <c r="E13" s="91">
        <v>4</v>
      </c>
      <c r="F13" s="92">
        <f xml:space="preserve"> Equity_market!L5</f>
        <v>0</v>
      </c>
      <c r="G13" s="92">
        <f xml:space="preserve"> Equity_market!M5</f>
        <v>0</v>
      </c>
      <c r="H13" s="92">
        <f xml:space="preserve"> Equity_market!N5</f>
        <v>0</v>
      </c>
      <c r="J13" s="91">
        <v>4</v>
      </c>
      <c r="K13" s="92">
        <f xml:space="preserve"> Equity_market!Q5</f>
        <v>0</v>
      </c>
      <c r="L13" s="92">
        <f xml:space="preserve"> Equity_market!R5</f>
        <v>0</v>
      </c>
      <c r="M13" s="92">
        <f xml:space="preserve"> Equity_market!S5</f>
        <v>0</v>
      </c>
      <c r="O13" s="91">
        <v>4</v>
      </c>
      <c r="P13" s="92">
        <f>+ Equity_market!V5</f>
        <v>0</v>
      </c>
      <c r="Q13" s="92">
        <f>+ Equity_market!W5</f>
        <v>0</v>
      </c>
      <c r="R13" s="92">
        <f>+ Equity_market!X5</f>
        <v>0</v>
      </c>
      <c r="T13" s="91">
        <v>4</v>
      </c>
      <c r="U13" s="92">
        <f>+ Equity_market!AA5</f>
        <v>0</v>
      </c>
      <c r="V13" s="92">
        <f>+ Equity_market!AB5</f>
        <v>0</v>
      </c>
      <c r="W13" s="92">
        <f>+ Equity_market!AC5</f>
        <v>0</v>
      </c>
    </row>
    <row r="14" spans="3:23">
      <c r="C14" s="130"/>
      <c r="E14" s="91">
        <v>5</v>
      </c>
      <c r="F14" s="92">
        <f xml:space="preserve"> Equity_market!L6</f>
        <v>0</v>
      </c>
      <c r="G14" s="92">
        <f xml:space="preserve"> Equity_market!M6</f>
        <v>0</v>
      </c>
      <c r="H14" s="92">
        <f xml:space="preserve"> Equity_market!N6</f>
        <v>0</v>
      </c>
      <c r="J14" s="91">
        <v>5</v>
      </c>
      <c r="K14" s="92">
        <f xml:space="preserve"> Equity_market!Q6</f>
        <v>0</v>
      </c>
      <c r="L14" s="92">
        <f xml:space="preserve"> Equity_market!R6</f>
        <v>0</v>
      </c>
      <c r="M14" s="92">
        <f xml:space="preserve"> Equity_market!S6</f>
        <v>0</v>
      </c>
      <c r="O14" s="91">
        <v>5</v>
      </c>
      <c r="P14" s="92">
        <f>+ Equity_market!V6</f>
        <v>0</v>
      </c>
      <c r="Q14" s="92">
        <f>+ Equity_market!W6</f>
        <v>0</v>
      </c>
      <c r="R14" s="92">
        <f>+ Equity_market!X6</f>
        <v>0</v>
      </c>
      <c r="T14" s="91">
        <v>5</v>
      </c>
      <c r="U14" s="92">
        <f>+ Equity_market!AA6</f>
        <v>0</v>
      </c>
      <c r="V14" s="92">
        <f>+ Equity_market!AB6</f>
        <v>0</v>
      </c>
      <c r="W14" s="92">
        <f>+ Equity_market!AC6</f>
        <v>0</v>
      </c>
    </row>
    <row r="15" spans="3:23">
      <c r="C15" s="130"/>
      <c r="E15" s="91">
        <v>6</v>
      </c>
      <c r="F15" s="92">
        <f xml:space="preserve"> Equity_market!L7</f>
        <v>0</v>
      </c>
      <c r="G15" s="92">
        <f xml:space="preserve"> Equity_market!M7</f>
        <v>0</v>
      </c>
      <c r="H15" s="92">
        <f xml:space="preserve"> Equity_market!N7</f>
        <v>0</v>
      </c>
      <c r="J15" s="91">
        <v>6</v>
      </c>
      <c r="K15" s="92">
        <f xml:space="preserve"> Equity_market!Q7</f>
        <v>0</v>
      </c>
      <c r="L15" s="92">
        <f xml:space="preserve"> Equity_market!R7</f>
        <v>0</v>
      </c>
      <c r="M15" s="92">
        <f xml:space="preserve"> Equity_market!S7</f>
        <v>0</v>
      </c>
      <c r="O15" s="91">
        <v>6</v>
      </c>
      <c r="P15" s="92">
        <f>+ Equity_market!V7</f>
        <v>0</v>
      </c>
      <c r="Q15" s="92">
        <f>+ Equity_market!W7</f>
        <v>0</v>
      </c>
      <c r="R15" s="92">
        <f>+ Equity_market!X7</f>
        <v>0</v>
      </c>
      <c r="T15" s="91">
        <v>6</v>
      </c>
      <c r="U15" s="92">
        <f>+ Equity_market!AA7</f>
        <v>0</v>
      </c>
      <c r="V15" s="92">
        <f>+ Equity_market!AB7</f>
        <v>0</v>
      </c>
      <c r="W15" s="92">
        <f>+ Equity_market!AC7</f>
        <v>0</v>
      </c>
    </row>
    <row r="16" spans="3:23">
      <c r="C16" s="130"/>
      <c r="E16" s="91">
        <v>7</v>
      </c>
      <c r="F16" s="92">
        <f xml:space="preserve"> Equity_market!L8</f>
        <v>0</v>
      </c>
      <c r="G16" s="92">
        <f xml:space="preserve"> Equity_market!M8</f>
        <v>0</v>
      </c>
      <c r="H16" s="92">
        <f xml:space="preserve"> Equity_market!N8</f>
        <v>0</v>
      </c>
      <c r="J16" s="91">
        <v>7</v>
      </c>
      <c r="K16" s="92">
        <f xml:space="preserve"> Equity_market!Q8</f>
        <v>0</v>
      </c>
      <c r="L16" s="92">
        <f xml:space="preserve"> Equity_market!R8</f>
        <v>0</v>
      </c>
      <c r="M16" s="92">
        <f xml:space="preserve"> Equity_market!S8</f>
        <v>0</v>
      </c>
      <c r="O16" s="91">
        <v>7</v>
      </c>
      <c r="P16" s="92">
        <f>+ Equity_market!V8</f>
        <v>0</v>
      </c>
      <c r="Q16" s="92">
        <f>+ Equity_market!W8</f>
        <v>0</v>
      </c>
      <c r="R16" s="92">
        <f>+ Equity_market!X8</f>
        <v>0</v>
      </c>
      <c r="T16" s="91">
        <v>7</v>
      </c>
      <c r="U16" s="92">
        <f>+ Equity_market!AA8</f>
        <v>0</v>
      </c>
      <c r="V16" s="92">
        <f>+ Equity_market!AB8</f>
        <v>0</v>
      </c>
      <c r="W16" s="92">
        <f>+ Equity_market!AC8</f>
        <v>0</v>
      </c>
    </row>
    <row r="17" spans="3:23">
      <c r="C17" s="130"/>
      <c r="E17" s="91">
        <v>8</v>
      </c>
      <c r="F17" s="92">
        <f xml:space="preserve"> Equity_market!L9</f>
        <v>0</v>
      </c>
      <c r="G17" s="92">
        <f xml:space="preserve"> Equity_market!M9</f>
        <v>0</v>
      </c>
      <c r="H17" s="92">
        <f xml:space="preserve"> Equity_market!N9</f>
        <v>0</v>
      </c>
      <c r="J17" s="91">
        <v>8</v>
      </c>
      <c r="K17" s="92">
        <f xml:space="preserve"> Equity_market!Q9</f>
        <v>0</v>
      </c>
      <c r="L17" s="92">
        <f xml:space="preserve"> Equity_market!R9</f>
        <v>0</v>
      </c>
      <c r="M17" s="92">
        <f xml:space="preserve"> Equity_market!S9</f>
        <v>0</v>
      </c>
      <c r="O17" s="91">
        <v>8</v>
      </c>
      <c r="P17" s="92">
        <f>+ Equity_market!V9</f>
        <v>0</v>
      </c>
      <c r="Q17" s="92">
        <f>+ Equity_market!W9</f>
        <v>0</v>
      </c>
      <c r="R17" s="92">
        <f>+ Equity_market!X9</f>
        <v>0</v>
      </c>
      <c r="T17" s="91">
        <v>8</v>
      </c>
      <c r="U17" s="92">
        <f>+ Equity_market!AA9</f>
        <v>0</v>
      </c>
      <c r="V17" s="92">
        <f>+ Equity_market!AB9</f>
        <v>0</v>
      </c>
      <c r="W17" s="92">
        <f>+ Equity_market!AC9</f>
        <v>0</v>
      </c>
    </row>
    <row r="18" spans="3:23">
      <c r="C18" s="130"/>
      <c r="E18" s="91">
        <v>9</v>
      </c>
      <c r="F18" s="92">
        <f xml:space="preserve"> Equity_market!L10</f>
        <v>0</v>
      </c>
      <c r="G18" s="92">
        <f xml:space="preserve"> Equity_market!M10</f>
        <v>0</v>
      </c>
      <c r="H18" s="92">
        <f xml:space="preserve"> Equity_market!N10</f>
        <v>0</v>
      </c>
      <c r="J18" s="91">
        <v>9</v>
      </c>
      <c r="K18" s="92">
        <f xml:space="preserve"> Equity_market!Q10</f>
        <v>0</v>
      </c>
      <c r="L18" s="92">
        <f xml:space="preserve"> Equity_market!R10</f>
        <v>0</v>
      </c>
      <c r="M18" s="92">
        <f xml:space="preserve"> Equity_market!S10</f>
        <v>0</v>
      </c>
      <c r="O18" s="91">
        <v>9</v>
      </c>
      <c r="P18" s="92">
        <f>+ Equity_market!V10</f>
        <v>0</v>
      </c>
      <c r="Q18" s="92">
        <f>+ Equity_market!W10</f>
        <v>0</v>
      </c>
      <c r="R18" s="92">
        <f>+ Equity_market!X10</f>
        <v>0</v>
      </c>
      <c r="T18" s="91">
        <v>9</v>
      </c>
      <c r="U18" s="92">
        <f>+ Equity_market!AA10</f>
        <v>0</v>
      </c>
      <c r="V18" s="92">
        <f>+ Equity_market!AB10</f>
        <v>0</v>
      </c>
      <c r="W18" s="92">
        <f>+ Equity_market!AC10</f>
        <v>0</v>
      </c>
    </row>
    <row r="19" spans="3:23">
      <c r="C19" s="130"/>
      <c r="E19" s="91">
        <v>10</v>
      </c>
      <c r="F19" s="92">
        <f xml:space="preserve"> Equity_market!L11</f>
        <v>0</v>
      </c>
      <c r="G19" s="92">
        <f xml:space="preserve"> Equity_market!M11</f>
        <v>0</v>
      </c>
      <c r="H19" s="92">
        <f xml:space="preserve"> Equity_market!N11</f>
        <v>0</v>
      </c>
      <c r="J19" s="91">
        <v>10</v>
      </c>
      <c r="K19" s="92">
        <f xml:space="preserve"> Equity_market!Q11</f>
        <v>0</v>
      </c>
      <c r="L19" s="92">
        <f xml:space="preserve"> Equity_market!R11</f>
        <v>0</v>
      </c>
      <c r="M19" s="92">
        <f xml:space="preserve"> Equity_market!S11</f>
        <v>0</v>
      </c>
      <c r="O19" s="91">
        <v>10</v>
      </c>
      <c r="P19" s="92">
        <f>+ Equity_market!V11</f>
        <v>0</v>
      </c>
      <c r="Q19" s="92">
        <f>+ Equity_market!W11</f>
        <v>0</v>
      </c>
      <c r="R19" s="92">
        <f>+ Equity_market!X11</f>
        <v>0</v>
      </c>
      <c r="T19" s="91">
        <v>10</v>
      </c>
      <c r="U19" s="92">
        <f>+ Equity_market!AA11</f>
        <v>0</v>
      </c>
      <c r="V19" s="92">
        <f>+ Equity_market!AB11</f>
        <v>0</v>
      </c>
      <c r="W19" s="92">
        <f>+ Equity_market!AC11</f>
        <v>0</v>
      </c>
    </row>
    <row r="20" spans="3:23">
      <c r="C20" s="130"/>
    </row>
    <row r="21" spans="3:23">
      <c r="C21" s="130"/>
    </row>
    <row r="22" spans="3:23" ht="21">
      <c r="C22" s="130"/>
      <c r="E22" s="131" t="s">
        <v>155</v>
      </c>
      <c r="F22" s="131"/>
      <c r="G22" s="131"/>
      <c r="H22" s="131"/>
      <c r="I22" s="131"/>
      <c r="J22" s="131"/>
      <c r="K22" s="131"/>
      <c r="L22" s="131"/>
      <c r="M22" s="131"/>
      <c r="O22" s="131" t="s">
        <v>156</v>
      </c>
      <c r="P22" s="131"/>
      <c r="Q22" s="131"/>
      <c r="R22" s="131"/>
      <c r="S22" s="131"/>
      <c r="T22" s="131"/>
      <c r="U22" s="131"/>
      <c r="V22" s="131"/>
      <c r="W22" s="131"/>
    </row>
    <row r="23" spans="3:23" ht="5.0999999999999996" customHeight="1">
      <c r="C23" s="130"/>
      <c r="F23" s="92"/>
      <c r="K23" s="92"/>
      <c r="P23" s="92"/>
      <c r="U23" s="92"/>
    </row>
    <row r="24" spans="3:23">
      <c r="C24" s="130"/>
      <c r="E24" s="90" t="s">
        <v>151</v>
      </c>
      <c r="F24" s="93" t="s">
        <v>152</v>
      </c>
      <c r="G24" s="90" t="s">
        <v>2</v>
      </c>
      <c r="H24" s="90" t="s">
        <v>153</v>
      </c>
      <c r="J24" s="90" t="s">
        <v>154</v>
      </c>
      <c r="K24" s="93" t="s">
        <v>152</v>
      </c>
      <c r="L24" s="90" t="s">
        <v>2</v>
      </c>
      <c r="M24" s="90" t="s">
        <v>153</v>
      </c>
      <c r="O24" s="90" t="s">
        <v>151</v>
      </c>
      <c r="P24" s="93" t="s">
        <v>152</v>
      </c>
      <c r="Q24" s="90" t="s">
        <v>2</v>
      </c>
      <c r="R24" s="90" t="s">
        <v>153</v>
      </c>
      <c r="T24" s="90" t="s">
        <v>154</v>
      </c>
      <c r="U24" s="93" t="s">
        <v>152</v>
      </c>
      <c r="V24" s="90" t="s">
        <v>2</v>
      </c>
      <c r="W24" s="90" t="s">
        <v>153</v>
      </c>
    </row>
    <row r="25" spans="3:23">
      <c r="C25" s="130"/>
      <c r="E25" s="91">
        <v>1</v>
      </c>
      <c r="F25" s="92">
        <f>+ Equity_market!AP2</f>
        <v>0</v>
      </c>
      <c r="G25" s="92">
        <f>+ Equity_market!AQ2</f>
        <v>0</v>
      </c>
      <c r="H25" s="92">
        <f>+ Equity_market!AR2</f>
        <v>0</v>
      </c>
      <c r="J25" s="91">
        <v>1</v>
      </c>
      <c r="K25" s="92">
        <f>+ Equity_market!AU2</f>
        <v>0</v>
      </c>
      <c r="L25" s="92">
        <f>+ Equity_market!AV2</f>
        <v>0</v>
      </c>
      <c r="M25" s="92">
        <f>+ Equity_market!AW2</f>
        <v>0</v>
      </c>
      <c r="O25" s="91">
        <v>1</v>
      </c>
      <c r="P25" s="92">
        <f>+ Equity_market!B2</f>
        <v>0</v>
      </c>
      <c r="Q25" s="92">
        <f>+ Equity_market!C2</f>
        <v>0</v>
      </c>
      <c r="R25" s="92">
        <f>+ Equity_market!D2</f>
        <v>0</v>
      </c>
      <c r="T25" s="91">
        <v>1</v>
      </c>
      <c r="U25" s="92">
        <f>+ Equity_market!G2</f>
        <v>0</v>
      </c>
      <c r="V25" s="92">
        <f>+ Equity_market!H2</f>
        <v>0</v>
      </c>
      <c r="W25" s="92">
        <f>+ Equity_market!I2</f>
        <v>0</v>
      </c>
    </row>
    <row r="26" spans="3:23">
      <c r="C26" s="130"/>
      <c r="E26" s="91">
        <v>2</v>
      </c>
      <c r="F26" s="92">
        <f>+ Equity_market!AP3</f>
        <v>0</v>
      </c>
      <c r="G26" s="92">
        <f>+ Equity_market!AQ3</f>
        <v>0</v>
      </c>
      <c r="H26" s="92">
        <f>+ Equity_market!AR3</f>
        <v>0</v>
      </c>
      <c r="J26" s="91">
        <v>2</v>
      </c>
      <c r="K26" s="92">
        <f>+ Equity_market!AU3</f>
        <v>0</v>
      </c>
      <c r="L26" s="92">
        <f>+ Equity_market!AV3</f>
        <v>0</v>
      </c>
      <c r="M26" s="92">
        <f>+ Equity_market!AW3</f>
        <v>0</v>
      </c>
      <c r="O26" s="91">
        <v>2</v>
      </c>
      <c r="P26" s="92">
        <f>+ Equity_market!B3</f>
        <v>0</v>
      </c>
      <c r="Q26" s="92">
        <f>+ Equity_market!C3</f>
        <v>0</v>
      </c>
      <c r="R26" s="92">
        <f>+ Equity_market!D3</f>
        <v>0</v>
      </c>
      <c r="T26" s="91">
        <v>2</v>
      </c>
      <c r="U26" s="92">
        <f>+ Equity_market!G3</f>
        <v>0</v>
      </c>
      <c r="V26" s="92">
        <f>+ Equity_market!H3</f>
        <v>0</v>
      </c>
      <c r="W26" s="92">
        <f>+ Equity_market!I3</f>
        <v>0</v>
      </c>
    </row>
    <row r="27" spans="3:23">
      <c r="C27" s="130"/>
      <c r="E27" s="91">
        <v>3</v>
      </c>
      <c r="F27" s="92">
        <f>+ Equity_market!AP4</f>
        <v>0</v>
      </c>
      <c r="G27" s="92">
        <f>+ Equity_market!AQ4</f>
        <v>0</v>
      </c>
      <c r="H27" s="92">
        <f>+ Equity_market!AR4</f>
        <v>0</v>
      </c>
      <c r="J27" s="91">
        <v>3</v>
      </c>
      <c r="K27" s="92">
        <f>+ Equity_market!AU4</f>
        <v>0</v>
      </c>
      <c r="L27" s="92">
        <f>+ Equity_market!AV4</f>
        <v>0</v>
      </c>
      <c r="M27" s="92">
        <f>+ Equity_market!AW4</f>
        <v>0</v>
      </c>
      <c r="O27" s="91">
        <v>3</v>
      </c>
      <c r="P27" s="92">
        <f>+ Equity_market!B4</f>
        <v>0</v>
      </c>
      <c r="Q27" s="92">
        <f>+ Equity_market!C4</f>
        <v>0</v>
      </c>
      <c r="R27" s="92">
        <f>+ Equity_market!D4</f>
        <v>0</v>
      </c>
      <c r="T27" s="91">
        <v>3</v>
      </c>
      <c r="U27" s="92">
        <f>+ Equity_market!G4</f>
        <v>0</v>
      </c>
      <c r="V27" s="92">
        <f>+ Equity_market!H4</f>
        <v>0</v>
      </c>
      <c r="W27" s="92">
        <f>+ Equity_market!I4</f>
        <v>0</v>
      </c>
    </row>
    <row r="28" spans="3:23">
      <c r="C28" s="130"/>
      <c r="E28" s="91">
        <v>4</v>
      </c>
      <c r="F28" s="92">
        <f>+ Equity_market!AP5</f>
        <v>0</v>
      </c>
      <c r="G28" s="92">
        <f>+ Equity_market!AQ5</f>
        <v>0</v>
      </c>
      <c r="H28" s="92">
        <f>+ Equity_market!AR5</f>
        <v>0</v>
      </c>
      <c r="J28" s="91">
        <v>4</v>
      </c>
      <c r="K28" s="92">
        <f>+ Equity_market!AU5</f>
        <v>0</v>
      </c>
      <c r="L28" s="92">
        <f>+ Equity_market!AV5</f>
        <v>0</v>
      </c>
      <c r="M28" s="92">
        <f>+ Equity_market!AW5</f>
        <v>0</v>
      </c>
      <c r="O28" s="91">
        <v>4</v>
      </c>
      <c r="P28" s="92">
        <f>+ Equity_market!B5</f>
        <v>0</v>
      </c>
      <c r="Q28" s="92">
        <f>+ Equity_market!C5</f>
        <v>0</v>
      </c>
      <c r="R28" s="92">
        <f>+ Equity_market!D5</f>
        <v>0</v>
      </c>
      <c r="T28" s="91">
        <v>4</v>
      </c>
      <c r="U28" s="92">
        <f>+ Equity_market!G5</f>
        <v>0</v>
      </c>
      <c r="V28" s="92">
        <f>+ Equity_market!H5</f>
        <v>0</v>
      </c>
      <c r="W28" s="92">
        <f>+ Equity_market!I5</f>
        <v>0</v>
      </c>
    </row>
    <row r="29" spans="3:23">
      <c r="C29" s="130"/>
      <c r="E29" s="91">
        <v>5</v>
      </c>
      <c r="F29" s="92">
        <f>+ Equity_market!AP6</f>
        <v>0</v>
      </c>
      <c r="G29" s="92">
        <f>+ Equity_market!AQ6</f>
        <v>0</v>
      </c>
      <c r="H29" s="92">
        <f>+ Equity_market!AR6</f>
        <v>0</v>
      </c>
      <c r="J29" s="91">
        <v>5</v>
      </c>
      <c r="K29" s="92">
        <f>+ Equity_market!AU6</f>
        <v>0</v>
      </c>
      <c r="L29" s="92">
        <f>+ Equity_market!AV6</f>
        <v>0</v>
      </c>
      <c r="M29" s="92">
        <f>+ Equity_market!AW6</f>
        <v>0</v>
      </c>
      <c r="O29" s="91">
        <v>5</v>
      </c>
      <c r="P29" s="92">
        <f>+ Equity_market!B6</f>
        <v>0</v>
      </c>
      <c r="Q29" s="92">
        <f>+ Equity_market!C6</f>
        <v>0</v>
      </c>
      <c r="R29" s="92">
        <f>+ Equity_market!D6</f>
        <v>0</v>
      </c>
      <c r="T29" s="91">
        <v>5</v>
      </c>
      <c r="U29" s="92">
        <f>+ Equity_market!G6</f>
        <v>0</v>
      </c>
      <c r="V29" s="92">
        <f>+ Equity_market!H6</f>
        <v>0</v>
      </c>
      <c r="W29" s="92">
        <f>+ Equity_market!I6</f>
        <v>0</v>
      </c>
    </row>
    <row r="30" spans="3:23">
      <c r="C30" s="130"/>
      <c r="E30" s="91">
        <v>6</v>
      </c>
      <c r="F30" s="92">
        <f>+ Equity_market!AP7</f>
        <v>0</v>
      </c>
      <c r="G30" s="92">
        <f>+ Equity_market!AQ7</f>
        <v>0</v>
      </c>
      <c r="H30" s="92">
        <f>+ Equity_market!AR7</f>
        <v>0</v>
      </c>
      <c r="J30" s="91">
        <v>6</v>
      </c>
      <c r="K30" s="92">
        <f>+ Equity_market!AU7</f>
        <v>0</v>
      </c>
      <c r="L30" s="92">
        <f>+ Equity_market!AV7</f>
        <v>0</v>
      </c>
      <c r="M30" s="92">
        <f>+ Equity_market!AW7</f>
        <v>0</v>
      </c>
      <c r="O30" s="91">
        <v>6</v>
      </c>
      <c r="P30" s="92">
        <f>+ Equity_market!B7</f>
        <v>0</v>
      </c>
      <c r="Q30" s="92">
        <f>+ Equity_market!C7</f>
        <v>0</v>
      </c>
      <c r="R30" s="92">
        <f>+ Equity_market!D7</f>
        <v>0</v>
      </c>
      <c r="T30" s="91">
        <v>6</v>
      </c>
      <c r="U30" s="92">
        <f>+ Equity_market!G7</f>
        <v>0</v>
      </c>
      <c r="V30" s="92">
        <f>+ Equity_market!H7</f>
        <v>0</v>
      </c>
      <c r="W30" s="92">
        <f>+ Equity_market!I7</f>
        <v>0</v>
      </c>
    </row>
    <row r="31" spans="3:23">
      <c r="C31" s="130"/>
      <c r="E31" s="91">
        <v>7</v>
      </c>
      <c r="F31" s="92">
        <f>+ Equity_market!AP8</f>
        <v>0</v>
      </c>
      <c r="G31" s="92">
        <f>+ Equity_market!AQ8</f>
        <v>0</v>
      </c>
      <c r="H31" s="92">
        <f>+ Equity_market!AR8</f>
        <v>0</v>
      </c>
      <c r="J31" s="91">
        <v>7</v>
      </c>
      <c r="K31" s="92">
        <f>+ Equity_market!AU8</f>
        <v>0</v>
      </c>
      <c r="L31" s="92">
        <f>+ Equity_market!AV8</f>
        <v>0</v>
      </c>
      <c r="M31" s="92">
        <f>+ Equity_market!AW8</f>
        <v>0</v>
      </c>
      <c r="O31" s="91">
        <v>7</v>
      </c>
      <c r="P31" s="92">
        <f>+ Equity_market!B8</f>
        <v>0</v>
      </c>
      <c r="Q31" s="92">
        <f>+ Equity_market!C8</f>
        <v>0</v>
      </c>
      <c r="R31" s="92">
        <f>+ Equity_market!D8</f>
        <v>0</v>
      </c>
      <c r="T31" s="91">
        <v>7</v>
      </c>
      <c r="U31" s="92">
        <f>+ Equity_market!G8</f>
        <v>0</v>
      </c>
      <c r="V31" s="92">
        <f>+ Equity_market!H8</f>
        <v>0</v>
      </c>
      <c r="W31" s="92">
        <f>+ Equity_market!I8</f>
        <v>0</v>
      </c>
    </row>
    <row r="32" spans="3:23">
      <c r="C32" s="130"/>
      <c r="E32" s="91">
        <v>8</v>
      </c>
      <c r="F32" s="92">
        <f>+ Equity_market!AP9</f>
        <v>0</v>
      </c>
      <c r="G32" s="92">
        <f>+ Equity_market!AQ9</f>
        <v>0</v>
      </c>
      <c r="H32" s="92">
        <f>+ Equity_market!AR9</f>
        <v>0</v>
      </c>
      <c r="J32" s="91">
        <v>8</v>
      </c>
      <c r="K32" s="92">
        <f>+ Equity_market!AU9</f>
        <v>0</v>
      </c>
      <c r="L32" s="92">
        <f>+ Equity_market!AV9</f>
        <v>0</v>
      </c>
      <c r="M32" s="92">
        <f>+ Equity_market!AW9</f>
        <v>0</v>
      </c>
      <c r="O32" s="91">
        <v>8</v>
      </c>
      <c r="P32" s="92">
        <f>+ Equity_market!B9</f>
        <v>0</v>
      </c>
      <c r="Q32" s="92">
        <f>+ Equity_market!C9</f>
        <v>0</v>
      </c>
      <c r="R32" s="92">
        <f>+ Equity_market!D9</f>
        <v>0</v>
      </c>
      <c r="T32" s="91">
        <v>8</v>
      </c>
      <c r="U32" s="92">
        <f>+ Equity_market!G9</f>
        <v>0</v>
      </c>
      <c r="V32" s="92">
        <f>+ Equity_market!H9</f>
        <v>0</v>
      </c>
      <c r="W32" s="92">
        <f>+ Equity_market!I9</f>
        <v>0</v>
      </c>
    </row>
    <row r="33" spans="3:23">
      <c r="C33" s="130"/>
      <c r="E33" s="91">
        <v>9</v>
      </c>
      <c r="F33" s="92">
        <f>+ Equity_market!AP10</f>
        <v>0</v>
      </c>
      <c r="G33" s="92">
        <f>+ Equity_market!AQ10</f>
        <v>0</v>
      </c>
      <c r="H33" s="92">
        <f>+ Equity_market!AR10</f>
        <v>0</v>
      </c>
      <c r="J33" s="91">
        <v>9</v>
      </c>
      <c r="K33" s="92">
        <f>+ Equity_market!AU10</f>
        <v>0</v>
      </c>
      <c r="L33" s="92">
        <f>+ Equity_market!AV10</f>
        <v>0</v>
      </c>
      <c r="M33" s="92">
        <f>+ Equity_market!AW10</f>
        <v>0</v>
      </c>
      <c r="O33" s="91">
        <v>9</v>
      </c>
      <c r="P33" s="92">
        <f>+ Equity_market!B10</f>
        <v>0</v>
      </c>
      <c r="Q33" s="92">
        <f>+ Equity_market!C10</f>
        <v>0</v>
      </c>
      <c r="R33" s="92">
        <f>+ Equity_market!D10</f>
        <v>0</v>
      </c>
      <c r="T33" s="91">
        <v>9</v>
      </c>
      <c r="U33" s="92">
        <f>+ Equity_market!G10</f>
        <v>0</v>
      </c>
      <c r="V33" s="92">
        <f>+ Equity_market!H10</f>
        <v>0</v>
      </c>
      <c r="W33" s="92">
        <f>+ Equity_market!I10</f>
        <v>0</v>
      </c>
    </row>
    <row r="34" spans="3:23">
      <c r="C34" s="130"/>
      <c r="E34" s="91">
        <v>10</v>
      </c>
      <c r="F34" s="92">
        <f>+ Equity_market!AP11</f>
        <v>0</v>
      </c>
      <c r="G34" s="92">
        <f>+ Equity_market!AQ11</f>
        <v>0</v>
      </c>
      <c r="H34" s="92">
        <f>+ Equity_market!AR11</f>
        <v>0</v>
      </c>
      <c r="J34" s="91">
        <v>10</v>
      </c>
      <c r="K34" s="92">
        <f>+ Equity_market!AU11</f>
        <v>0</v>
      </c>
      <c r="L34" s="92">
        <f>+ Equity_market!AV11</f>
        <v>0</v>
      </c>
      <c r="M34" s="92">
        <f>+ Equity_market!AW11</f>
        <v>0</v>
      </c>
      <c r="O34" s="91">
        <v>10</v>
      </c>
      <c r="P34" s="92">
        <f>+ Equity_market!B11</f>
        <v>0</v>
      </c>
      <c r="Q34" s="92">
        <f>+ Equity_market!C11</f>
        <v>0</v>
      </c>
      <c r="R34" s="92">
        <f>+ Equity_market!D11</f>
        <v>0</v>
      </c>
      <c r="T34" s="91">
        <v>10</v>
      </c>
      <c r="U34" s="92">
        <f>+ Equity_market!G11</f>
        <v>0</v>
      </c>
      <c r="V34" s="92">
        <f>+ Equity_market!H11</f>
        <v>0</v>
      </c>
      <c r="W34" s="92">
        <f>+ Equity_market!I11</f>
        <v>0</v>
      </c>
    </row>
    <row r="39" spans="3:23" ht="21">
      <c r="C39" s="130" t="s">
        <v>157</v>
      </c>
      <c r="E39" s="131" t="s">
        <v>149</v>
      </c>
      <c r="F39" s="131"/>
      <c r="G39" s="131"/>
      <c r="H39" s="131"/>
      <c r="I39" s="131"/>
      <c r="J39" s="131"/>
      <c r="K39" s="131"/>
      <c r="L39" s="131"/>
      <c r="M39" s="131"/>
      <c r="O39" s="131" t="s">
        <v>150</v>
      </c>
      <c r="P39" s="131"/>
      <c r="Q39" s="131"/>
      <c r="R39" s="131"/>
      <c r="S39" s="131"/>
      <c r="T39" s="131"/>
      <c r="U39" s="131"/>
      <c r="V39" s="131"/>
      <c r="W39" s="131"/>
    </row>
    <row r="40" spans="3:23" ht="5.0999999999999996" customHeight="1">
      <c r="C40" s="130"/>
      <c r="F40" s="92"/>
      <c r="K40" s="92"/>
      <c r="P40" s="92"/>
      <c r="U40" s="92"/>
    </row>
    <row r="41" spans="3:23">
      <c r="C41" s="130"/>
      <c r="E41" s="90" t="s">
        <v>151</v>
      </c>
      <c r="F41" s="93" t="s">
        <v>172</v>
      </c>
      <c r="G41" s="90" t="s">
        <v>2</v>
      </c>
      <c r="H41" s="90" t="s">
        <v>153</v>
      </c>
      <c r="J41" s="90" t="s">
        <v>154</v>
      </c>
      <c r="K41" s="93" t="s">
        <v>172</v>
      </c>
      <c r="L41" s="90" t="s">
        <v>2</v>
      </c>
      <c r="M41" s="90" t="s">
        <v>153</v>
      </c>
      <c r="O41" s="90" t="s">
        <v>151</v>
      </c>
      <c r="P41" s="93" t="s">
        <v>172</v>
      </c>
      <c r="Q41" s="90" t="s">
        <v>2</v>
      </c>
      <c r="R41" s="90" t="s">
        <v>153</v>
      </c>
      <c r="T41" s="90" t="s">
        <v>154</v>
      </c>
      <c r="U41" s="93" t="s">
        <v>172</v>
      </c>
      <c r="V41" s="90" t="s">
        <v>2</v>
      </c>
      <c r="W41" s="90" t="s">
        <v>153</v>
      </c>
    </row>
    <row r="42" spans="3:23">
      <c r="C42" s="130"/>
      <c r="E42" s="91">
        <v>1</v>
      </c>
      <c r="F42" s="92">
        <f>+ Equity_market!L15</f>
        <v>0</v>
      </c>
      <c r="G42" s="92">
        <f>+ Equity_market!M15</f>
        <v>0</v>
      </c>
      <c r="H42" s="92">
        <f>+ Equity_market!N15</f>
        <v>0</v>
      </c>
      <c r="J42" s="91">
        <v>1</v>
      </c>
      <c r="K42" s="92">
        <f>+ Equity_market!Q15</f>
        <v>0</v>
      </c>
      <c r="L42" s="92">
        <f>+ Equity_market!R15</f>
        <v>0</v>
      </c>
      <c r="M42" s="92">
        <f>+ Equity_market!S15</f>
        <v>0</v>
      </c>
      <c r="O42" s="91">
        <v>1</v>
      </c>
      <c r="P42" s="92">
        <f>+ Equity_market!V15</f>
        <v>0</v>
      </c>
      <c r="Q42" s="92">
        <f>+ Equity_market!W15</f>
        <v>0</v>
      </c>
      <c r="R42" s="92">
        <f>+ Equity_market!X15</f>
        <v>0</v>
      </c>
      <c r="T42" s="91">
        <v>1</v>
      </c>
      <c r="U42" s="92">
        <f>+ Equity_market!AA15</f>
        <v>0</v>
      </c>
      <c r="V42" s="92">
        <f>+ Equity_market!AB15</f>
        <v>0</v>
      </c>
      <c r="W42" s="92">
        <f>+ Equity_market!AC15</f>
        <v>0</v>
      </c>
    </row>
    <row r="43" spans="3:23">
      <c r="C43" s="130"/>
      <c r="E43" s="91">
        <v>2</v>
      </c>
      <c r="F43" s="92">
        <f>+ Equity_market!L16</f>
        <v>0</v>
      </c>
      <c r="G43" s="92">
        <f>+ Equity_market!M16</f>
        <v>0</v>
      </c>
      <c r="H43" s="92">
        <f>+ Equity_market!N16</f>
        <v>0</v>
      </c>
      <c r="J43" s="91">
        <v>2</v>
      </c>
      <c r="K43" s="92">
        <f>+ Equity_market!Q16</f>
        <v>0</v>
      </c>
      <c r="L43" s="92">
        <f>+ Equity_market!R16</f>
        <v>0</v>
      </c>
      <c r="M43" s="92">
        <f>+ Equity_market!S16</f>
        <v>0</v>
      </c>
      <c r="O43" s="91">
        <v>2</v>
      </c>
      <c r="P43" s="92">
        <f>+ Equity_market!V16</f>
        <v>0</v>
      </c>
      <c r="Q43" s="92">
        <f>+ Equity_market!W16</f>
        <v>0</v>
      </c>
      <c r="R43" s="92">
        <f>+ Equity_market!X16</f>
        <v>0</v>
      </c>
      <c r="T43" s="91">
        <v>2</v>
      </c>
      <c r="U43" s="92">
        <f>+ Equity_market!AA16</f>
        <v>0</v>
      </c>
      <c r="V43" s="92">
        <f>+ Equity_market!AB16</f>
        <v>0</v>
      </c>
      <c r="W43" s="92">
        <f>+ Equity_market!AC16</f>
        <v>0</v>
      </c>
    </row>
    <row r="44" spans="3:23">
      <c r="C44" s="130"/>
      <c r="E44" s="91">
        <v>3</v>
      </c>
      <c r="F44" s="92">
        <f>+ Equity_market!L17</f>
        <v>0</v>
      </c>
      <c r="G44" s="92">
        <f>+ Equity_market!M17</f>
        <v>0</v>
      </c>
      <c r="H44" s="92">
        <f>+ Equity_market!N17</f>
        <v>0</v>
      </c>
      <c r="J44" s="91">
        <v>3</v>
      </c>
      <c r="K44" s="92">
        <f>+ Equity_market!Q17</f>
        <v>0</v>
      </c>
      <c r="L44" s="92">
        <f>+ Equity_market!R17</f>
        <v>0</v>
      </c>
      <c r="M44" s="92">
        <f>+ Equity_market!S17</f>
        <v>0</v>
      </c>
      <c r="O44" s="91">
        <v>3</v>
      </c>
      <c r="P44" s="92">
        <f>+ Equity_market!V17</f>
        <v>0</v>
      </c>
      <c r="Q44" s="92">
        <f>+ Equity_market!W17</f>
        <v>0</v>
      </c>
      <c r="R44" s="92">
        <f>+ Equity_market!X17</f>
        <v>0</v>
      </c>
      <c r="T44" s="91">
        <v>3</v>
      </c>
      <c r="U44" s="92">
        <f>+ Equity_market!AA17</f>
        <v>0</v>
      </c>
      <c r="V44" s="92">
        <f>+ Equity_market!AB17</f>
        <v>0</v>
      </c>
      <c r="W44" s="92">
        <f>+ Equity_market!AC17</f>
        <v>0</v>
      </c>
    </row>
    <row r="45" spans="3:23">
      <c r="C45" s="130"/>
      <c r="E45" s="91">
        <v>4</v>
      </c>
      <c r="F45" s="92">
        <f>+ Equity_market!L18</f>
        <v>0</v>
      </c>
      <c r="G45" s="92">
        <f>+ Equity_market!M18</f>
        <v>0</v>
      </c>
      <c r="H45" s="92">
        <f>+ Equity_market!N18</f>
        <v>0</v>
      </c>
      <c r="J45" s="91">
        <v>4</v>
      </c>
      <c r="K45" s="92">
        <f>+ Equity_market!Q18</f>
        <v>0</v>
      </c>
      <c r="L45" s="92">
        <f>+ Equity_market!R18</f>
        <v>0</v>
      </c>
      <c r="M45" s="92">
        <f>+ Equity_market!S18</f>
        <v>0</v>
      </c>
      <c r="O45" s="91">
        <v>4</v>
      </c>
      <c r="P45" s="92">
        <f>+ Equity_market!V18</f>
        <v>0</v>
      </c>
      <c r="Q45" s="92">
        <f>+ Equity_market!W18</f>
        <v>0</v>
      </c>
      <c r="R45" s="92">
        <f>+ Equity_market!X18</f>
        <v>0</v>
      </c>
      <c r="T45" s="91">
        <v>4</v>
      </c>
      <c r="U45" s="92">
        <f>+ Equity_market!AA18</f>
        <v>0</v>
      </c>
      <c r="V45" s="92">
        <f>+ Equity_market!AB18</f>
        <v>0</v>
      </c>
      <c r="W45" s="92">
        <f>+ Equity_market!AC18</f>
        <v>0</v>
      </c>
    </row>
    <row r="46" spans="3:23">
      <c r="C46" s="130"/>
      <c r="E46" s="91">
        <v>5</v>
      </c>
      <c r="F46" s="92">
        <f>+ Equity_market!L19</f>
        <v>0</v>
      </c>
      <c r="G46" s="92">
        <f>+ Equity_market!M19</f>
        <v>0</v>
      </c>
      <c r="H46" s="92">
        <f>+ Equity_market!N19</f>
        <v>0</v>
      </c>
      <c r="J46" s="91">
        <v>5</v>
      </c>
      <c r="K46" s="92">
        <f>+ Equity_market!Q19</f>
        <v>0</v>
      </c>
      <c r="L46" s="92">
        <f>+ Equity_market!R19</f>
        <v>0</v>
      </c>
      <c r="M46" s="92">
        <f>+ Equity_market!S19</f>
        <v>0</v>
      </c>
      <c r="O46" s="91">
        <v>5</v>
      </c>
      <c r="P46" s="92">
        <f>+ Equity_market!V19</f>
        <v>0</v>
      </c>
      <c r="Q46" s="92">
        <f>+ Equity_market!W19</f>
        <v>0</v>
      </c>
      <c r="R46" s="92">
        <f>+ Equity_market!X19</f>
        <v>0</v>
      </c>
      <c r="T46" s="91">
        <v>5</v>
      </c>
      <c r="U46" s="92">
        <f>+ Equity_market!AA19</f>
        <v>0</v>
      </c>
      <c r="V46" s="92">
        <f>+ Equity_market!AB19</f>
        <v>0</v>
      </c>
      <c r="W46" s="92">
        <f>+ Equity_market!AC19</f>
        <v>0</v>
      </c>
    </row>
    <row r="47" spans="3:23">
      <c r="C47" s="130"/>
      <c r="E47" s="91">
        <v>6</v>
      </c>
      <c r="F47" s="92">
        <f>+ Equity_market!L20</f>
        <v>0</v>
      </c>
      <c r="G47" s="92">
        <f>+ Equity_market!M20</f>
        <v>0</v>
      </c>
      <c r="H47" s="92">
        <f>+ Equity_market!N20</f>
        <v>0</v>
      </c>
      <c r="J47" s="91">
        <v>6</v>
      </c>
      <c r="K47" s="92">
        <f>+ Equity_market!Q20</f>
        <v>0</v>
      </c>
      <c r="L47" s="92">
        <f>+ Equity_market!R20</f>
        <v>0</v>
      </c>
      <c r="M47" s="92">
        <f>+ Equity_market!S20</f>
        <v>0</v>
      </c>
      <c r="O47" s="91">
        <v>6</v>
      </c>
      <c r="P47" s="92">
        <f>+ Equity_market!V20</f>
        <v>0</v>
      </c>
      <c r="Q47" s="92">
        <f>+ Equity_market!W20</f>
        <v>0</v>
      </c>
      <c r="R47" s="92">
        <f>+ Equity_market!X20</f>
        <v>0</v>
      </c>
      <c r="T47" s="91">
        <v>6</v>
      </c>
      <c r="U47" s="92">
        <f>+ Equity_market!AA20</f>
        <v>0</v>
      </c>
      <c r="V47" s="92">
        <f>+ Equity_market!AB20</f>
        <v>0</v>
      </c>
      <c r="W47" s="92">
        <f>+ Equity_market!AC20</f>
        <v>0</v>
      </c>
    </row>
    <row r="48" spans="3:23">
      <c r="C48" s="130"/>
      <c r="E48" s="91">
        <v>7</v>
      </c>
      <c r="F48" s="92">
        <f>+ Equity_market!L21</f>
        <v>0</v>
      </c>
      <c r="G48" s="92">
        <f>+ Equity_market!M21</f>
        <v>0</v>
      </c>
      <c r="H48" s="92">
        <f>+ Equity_market!N21</f>
        <v>0</v>
      </c>
      <c r="J48" s="91">
        <v>7</v>
      </c>
      <c r="K48" s="92">
        <f>+ Equity_market!Q21</f>
        <v>0</v>
      </c>
      <c r="L48" s="92">
        <f>+ Equity_market!R21</f>
        <v>0</v>
      </c>
      <c r="M48" s="92">
        <f>+ Equity_market!S21</f>
        <v>0</v>
      </c>
      <c r="O48" s="91">
        <v>7</v>
      </c>
      <c r="P48" s="92">
        <f>+ Equity_market!V21</f>
        <v>0</v>
      </c>
      <c r="Q48" s="92">
        <f>+ Equity_market!W21</f>
        <v>0</v>
      </c>
      <c r="R48" s="92">
        <f>+ Equity_market!X21</f>
        <v>0</v>
      </c>
      <c r="T48" s="91">
        <v>7</v>
      </c>
      <c r="U48" s="92">
        <f>+ Equity_market!AA21</f>
        <v>0</v>
      </c>
      <c r="V48" s="92">
        <f>+ Equity_market!AB21</f>
        <v>0</v>
      </c>
      <c r="W48" s="92">
        <f>+ Equity_market!AC21</f>
        <v>0</v>
      </c>
    </row>
    <row r="49" spans="3:23">
      <c r="C49" s="130"/>
      <c r="E49" s="91">
        <v>8</v>
      </c>
      <c r="F49" s="92">
        <f>+ Equity_market!L22</f>
        <v>0</v>
      </c>
      <c r="G49" s="92">
        <f>+ Equity_market!M22</f>
        <v>0</v>
      </c>
      <c r="H49" s="92">
        <f>+ Equity_market!N22</f>
        <v>0</v>
      </c>
      <c r="J49" s="91">
        <v>8</v>
      </c>
      <c r="K49" s="92">
        <f>+ Equity_market!Q22</f>
        <v>0</v>
      </c>
      <c r="L49" s="92">
        <f>+ Equity_market!R22</f>
        <v>0</v>
      </c>
      <c r="M49" s="92">
        <f>+ Equity_market!S22</f>
        <v>0</v>
      </c>
      <c r="O49" s="91">
        <v>8</v>
      </c>
      <c r="P49" s="92">
        <f>+ Equity_market!V22</f>
        <v>0</v>
      </c>
      <c r="Q49" s="92">
        <f>+ Equity_market!W22</f>
        <v>0</v>
      </c>
      <c r="R49" s="92">
        <f>+ Equity_market!X22</f>
        <v>0</v>
      </c>
      <c r="T49" s="91">
        <v>8</v>
      </c>
      <c r="U49" s="92">
        <f>+ Equity_market!AA22</f>
        <v>0</v>
      </c>
      <c r="V49" s="92">
        <f>+ Equity_market!AB22</f>
        <v>0</v>
      </c>
      <c r="W49" s="92">
        <f>+ Equity_market!AC22</f>
        <v>0</v>
      </c>
    </row>
    <row r="50" spans="3:23">
      <c r="C50" s="130"/>
      <c r="E50" s="91">
        <v>9</v>
      </c>
      <c r="F50" s="92">
        <f>+ Equity_market!L23</f>
        <v>0</v>
      </c>
      <c r="G50" s="92">
        <f>+ Equity_market!M23</f>
        <v>0</v>
      </c>
      <c r="H50" s="92">
        <f>+ Equity_market!N23</f>
        <v>0</v>
      </c>
      <c r="J50" s="91">
        <v>9</v>
      </c>
      <c r="K50" s="92">
        <f>+ Equity_market!Q23</f>
        <v>0</v>
      </c>
      <c r="L50" s="92">
        <f>+ Equity_market!R23</f>
        <v>0</v>
      </c>
      <c r="M50" s="92">
        <f>+ Equity_market!S23</f>
        <v>0</v>
      </c>
      <c r="O50" s="91">
        <v>9</v>
      </c>
      <c r="P50" s="92">
        <f>+ Equity_market!V23</f>
        <v>0</v>
      </c>
      <c r="Q50" s="92">
        <f>+ Equity_market!W23</f>
        <v>0</v>
      </c>
      <c r="R50" s="92">
        <f>+ Equity_market!X23</f>
        <v>0</v>
      </c>
      <c r="T50" s="91">
        <v>9</v>
      </c>
      <c r="U50" s="92">
        <f>+ Equity_market!AA23</f>
        <v>0</v>
      </c>
      <c r="V50" s="92">
        <f>+ Equity_market!AB23</f>
        <v>0</v>
      </c>
      <c r="W50" s="92">
        <f>+ Equity_market!AC23</f>
        <v>0</v>
      </c>
    </row>
    <row r="51" spans="3:23">
      <c r="C51" s="130"/>
      <c r="E51" s="91">
        <v>10</v>
      </c>
      <c r="F51" s="92">
        <f>+ Equity_market!L24</f>
        <v>0</v>
      </c>
      <c r="G51" s="92">
        <f>+ Equity_market!M24</f>
        <v>0</v>
      </c>
      <c r="H51" s="92">
        <f>+ Equity_market!N24</f>
        <v>0</v>
      </c>
      <c r="J51" s="91">
        <v>10</v>
      </c>
      <c r="K51" s="92">
        <f>+ Equity_market!Q24</f>
        <v>0</v>
      </c>
      <c r="L51" s="92">
        <f>+ Equity_market!R24</f>
        <v>0</v>
      </c>
      <c r="M51" s="92">
        <f>+ Equity_market!S24</f>
        <v>0</v>
      </c>
      <c r="O51" s="91">
        <v>10</v>
      </c>
      <c r="P51" s="92">
        <f>+ Equity_market!V24</f>
        <v>0</v>
      </c>
      <c r="Q51" s="92">
        <f>+ Equity_market!W24</f>
        <v>0</v>
      </c>
      <c r="R51" s="92">
        <f>+ Equity_market!X24</f>
        <v>0</v>
      </c>
      <c r="T51" s="91">
        <v>10</v>
      </c>
      <c r="U51" s="92">
        <f>+ Equity_market!AA24</f>
        <v>0</v>
      </c>
      <c r="V51" s="92">
        <f>+ Equity_market!AB24</f>
        <v>0</v>
      </c>
      <c r="W51" s="92">
        <f>+ Equity_market!AC24</f>
        <v>0</v>
      </c>
    </row>
    <row r="52" spans="3:23">
      <c r="C52" s="130"/>
    </row>
    <row r="53" spans="3:23">
      <c r="C53" s="130"/>
    </row>
    <row r="54" spans="3:23" ht="21">
      <c r="C54" s="130"/>
      <c r="E54" s="131" t="s">
        <v>155</v>
      </c>
      <c r="F54" s="131"/>
      <c r="G54" s="131"/>
      <c r="H54" s="131"/>
      <c r="I54" s="131"/>
      <c r="J54" s="131"/>
      <c r="K54" s="131"/>
      <c r="L54" s="131"/>
      <c r="M54" s="131"/>
      <c r="O54" s="131" t="s">
        <v>156</v>
      </c>
      <c r="P54" s="131"/>
      <c r="Q54" s="131"/>
      <c r="R54" s="131"/>
      <c r="S54" s="131"/>
      <c r="T54" s="131"/>
      <c r="U54" s="131"/>
      <c r="V54" s="131"/>
      <c r="W54" s="131"/>
    </row>
    <row r="55" spans="3:23" ht="5.0999999999999996" customHeight="1">
      <c r="C55" s="130"/>
      <c r="F55" s="92"/>
      <c r="K55" s="92"/>
      <c r="P55" s="92"/>
      <c r="U55" s="92"/>
    </row>
    <row r="56" spans="3:23">
      <c r="C56" s="130"/>
      <c r="E56" s="90" t="s">
        <v>151</v>
      </c>
      <c r="F56" s="93" t="s">
        <v>172</v>
      </c>
      <c r="G56" s="90" t="s">
        <v>2</v>
      </c>
      <c r="H56" s="90" t="s">
        <v>153</v>
      </c>
      <c r="J56" s="90" t="s">
        <v>154</v>
      </c>
      <c r="K56" s="93" t="s">
        <v>172</v>
      </c>
      <c r="L56" s="90" t="s">
        <v>2</v>
      </c>
      <c r="M56" s="90" t="s">
        <v>153</v>
      </c>
      <c r="O56" s="90" t="s">
        <v>151</v>
      </c>
      <c r="P56" s="93" t="s">
        <v>172</v>
      </c>
      <c r="Q56" s="90" t="s">
        <v>2</v>
      </c>
      <c r="R56" s="90" t="s">
        <v>153</v>
      </c>
      <c r="T56" s="90" t="s">
        <v>154</v>
      </c>
      <c r="U56" s="93" t="s">
        <v>172</v>
      </c>
      <c r="V56" s="90" t="s">
        <v>2</v>
      </c>
      <c r="W56" s="90" t="s">
        <v>153</v>
      </c>
    </row>
    <row r="57" spans="3:23">
      <c r="C57" s="130"/>
      <c r="E57" s="91">
        <v>1</v>
      </c>
      <c r="F57" s="92">
        <f>+ Equity_market!AP15</f>
        <v>0</v>
      </c>
      <c r="G57" s="92">
        <f>+ Equity_market!AQ15</f>
        <v>0</v>
      </c>
      <c r="H57" s="92">
        <f>+ Equity_market!AR15</f>
        <v>0</v>
      </c>
      <c r="J57" s="91">
        <v>1</v>
      </c>
      <c r="K57" s="92">
        <f>+ Equity_market!AU15</f>
        <v>0</v>
      </c>
      <c r="L57" s="92">
        <f>+ Equity_market!AV15</f>
        <v>0</v>
      </c>
      <c r="M57" s="92">
        <f>+ Equity_market!AW15</f>
        <v>0</v>
      </c>
      <c r="O57" s="91">
        <v>1</v>
      </c>
      <c r="P57" s="92">
        <f>+ Equity_market!B15</f>
        <v>0</v>
      </c>
      <c r="Q57" s="92">
        <f>+ Equity_market!C15</f>
        <v>0</v>
      </c>
      <c r="R57" s="92">
        <f>+ Equity_market!D15</f>
        <v>0</v>
      </c>
      <c r="T57" s="91">
        <v>1</v>
      </c>
      <c r="U57" s="92">
        <f>+ Equity_market!G15</f>
        <v>0</v>
      </c>
      <c r="V57" s="92">
        <f>+ Equity_market!H15</f>
        <v>0</v>
      </c>
      <c r="W57" s="92">
        <f>+ Equity_market!I15</f>
        <v>0</v>
      </c>
    </row>
    <row r="58" spans="3:23">
      <c r="C58" s="130"/>
      <c r="E58" s="91">
        <v>2</v>
      </c>
      <c r="F58" s="92">
        <f>+ Equity_market!AP16</f>
        <v>0</v>
      </c>
      <c r="G58" s="92">
        <f>+ Equity_market!AQ16</f>
        <v>0</v>
      </c>
      <c r="H58" s="92">
        <f>+ Equity_market!AR16</f>
        <v>0</v>
      </c>
      <c r="J58" s="91">
        <v>2</v>
      </c>
      <c r="K58" s="92">
        <f>+ Equity_market!AU16</f>
        <v>0</v>
      </c>
      <c r="L58" s="92">
        <f>+ Equity_market!AV16</f>
        <v>0</v>
      </c>
      <c r="M58" s="92">
        <f>+ Equity_market!AW16</f>
        <v>0</v>
      </c>
      <c r="O58" s="91">
        <v>2</v>
      </c>
      <c r="P58" s="92">
        <f>+ Equity_market!B16</f>
        <v>0</v>
      </c>
      <c r="Q58" s="92">
        <f>+ Equity_market!C16</f>
        <v>0</v>
      </c>
      <c r="R58" s="92">
        <f>+ Equity_market!D16</f>
        <v>0</v>
      </c>
      <c r="T58" s="91">
        <v>2</v>
      </c>
      <c r="U58" s="92">
        <f>+ Equity_market!G16</f>
        <v>0</v>
      </c>
      <c r="V58" s="92">
        <f>+ Equity_market!H16</f>
        <v>0</v>
      </c>
      <c r="W58" s="92">
        <f>+ Equity_market!I16</f>
        <v>0</v>
      </c>
    </row>
    <row r="59" spans="3:23">
      <c r="C59" s="130"/>
      <c r="E59" s="91">
        <v>3</v>
      </c>
      <c r="F59" s="92">
        <f>+ Equity_market!AP17</f>
        <v>0</v>
      </c>
      <c r="G59" s="92">
        <f>+ Equity_market!AQ17</f>
        <v>0</v>
      </c>
      <c r="H59" s="92">
        <f>+ Equity_market!AR17</f>
        <v>0</v>
      </c>
      <c r="J59" s="91">
        <v>3</v>
      </c>
      <c r="K59" s="92">
        <f>+ Equity_market!AU17</f>
        <v>0</v>
      </c>
      <c r="L59" s="92">
        <f>+ Equity_market!AV17</f>
        <v>0</v>
      </c>
      <c r="M59" s="92">
        <f>+ Equity_market!AW17</f>
        <v>0</v>
      </c>
      <c r="O59" s="91">
        <v>3</v>
      </c>
      <c r="P59" s="92">
        <f>+ Equity_market!B17</f>
        <v>0</v>
      </c>
      <c r="Q59" s="92">
        <f>+ Equity_market!C17</f>
        <v>0</v>
      </c>
      <c r="R59" s="92">
        <f>+ Equity_market!D17</f>
        <v>0</v>
      </c>
      <c r="T59" s="91">
        <v>3</v>
      </c>
      <c r="U59" s="92">
        <f>+ Equity_market!G17</f>
        <v>0</v>
      </c>
      <c r="V59" s="92">
        <f>+ Equity_market!H17</f>
        <v>0</v>
      </c>
      <c r="W59" s="92">
        <f>+ Equity_market!I17</f>
        <v>0</v>
      </c>
    </row>
    <row r="60" spans="3:23">
      <c r="C60" s="130"/>
      <c r="E60" s="91">
        <v>4</v>
      </c>
      <c r="F60" s="92">
        <f>+ Equity_market!AP18</f>
        <v>0</v>
      </c>
      <c r="G60" s="92">
        <f>+ Equity_market!AQ18</f>
        <v>0</v>
      </c>
      <c r="H60" s="92">
        <f>+ Equity_market!AR18</f>
        <v>0</v>
      </c>
      <c r="J60" s="91">
        <v>4</v>
      </c>
      <c r="K60" s="92">
        <f>+ Equity_market!AU18</f>
        <v>0</v>
      </c>
      <c r="L60" s="92">
        <f>+ Equity_market!AV18</f>
        <v>0</v>
      </c>
      <c r="M60" s="92">
        <f>+ Equity_market!AW18</f>
        <v>0</v>
      </c>
      <c r="O60" s="91">
        <v>4</v>
      </c>
      <c r="P60" s="92">
        <f>+ Equity_market!B18</f>
        <v>0</v>
      </c>
      <c r="Q60" s="92">
        <f>+ Equity_market!C18</f>
        <v>0</v>
      </c>
      <c r="R60" s="92">
        <f>+ Equity_market!D18</f>
        <v>0</v>
      </c>
      <c r="T60" s="91">
        <v>4</v>
      </c>
      <c r="U60" s="92">
        <f>+ Equity_market!G18</f>
        <v>0</v>
      </c>
      <c r="V60" s="92">
        <f>+ Equity_market!H18</f>
        <v>0</v>
      </c>
      <c r="W60" s="92">
        <f>+ Equity_market!I18</f>
        <v>0</v>
      </c>
    </row>
    <row r="61" spans="3:23">
      <c r="C61" s="130"/>
      <c r="E61" s="91">
        <v>5</v>
      </c>
      <c r="F61" s="92">
        <f>+ Equity_market!AP19</f>
        <v>0</v>
      </c>
      <c r="G61" s="92">
        <f>+ Equity_market!AQ19</f>
        <v>0</v>
      </c>
      <c r="H61" s="92">
        <f>+ Equity_market!AR19</f>
        <v>0</v>
      </c>
      <c r="J61" s="91">
        <v>5</v>
      </c>
      <c r="K61" s="92">
        <f>+ Equity_market!AU19</f>
        <v>0</v>
      </c>
      <c r="L61" s="92">
        <f>+ Equity_market!AV19</f>
        <v>0</v>
      </c>
      <c r="M61" s="92">
        <f>+ Equity_market!AW19</f>
        <v>0</v>
      </c>
      <c r="O61" s="91">
        <v>5</v>
      </c>
      <c r="P61" s="92">
        <f>+ Equity_market!B19</f>
        <v>0</v>
      </c>
      <c r="Q61" s="92">
        <f>+ Equity_market!C19</f>
        <v>0</v>
      </c>
      <c r="R61" s="92">
        <f>+ Equity_market!D19</f>
        <v>0</v>
      </c>
      <c r="T61" s="91">
        <v>5</v>
      </c>
      <c r="U61" s="92">
        <f>+ Equity_market!G19</f>
        <v>0</v>
      </c>
      <c r="V61" s="92">
        <f>+ Equity_market!H19</f>
        <v>0</v>
      </c>
      <c r="W61" s="92">
        <f>+ Equity_market!I19</f>
        <v>0</v>
      </c>
    </row>
    <row r="62" spans="3:23">
      <c r="C62" s="130"/>
      <c r="E62" s="91">
        <v>6</v>
      </c>
      <c r="F62" s="92">
        <f>+ Equity_market!AP20</f>
        <v>0</v>
      </c>
      <c r="G62" s="92">
        <f>+ Equity_market!AQ20</f>
        <v>0</v>
      </c>
      <c r="H62" s="92">
        <f>+ Equity_market!AR20</f>
        <v>0</v>
      </c>
      <c r="J62" s="91">
        <v>6</v>
      </c>
      <c r="K62" s="92">
        <f>+ Equity_market!AU20</f>
        <v>0</v>
      </c>
      <c r="L62" s="92">
        <f>+ Equity_market!AV20</f>
        <v>0</v>
      </c>
      <c r="M62" s="92">
        <f>+ Equity_market!AW20</f>
        <v>0</v>
      </c>
      <c r="O62" s="91">
        <v>6</v>
      </c>
      <c r="P62" s="92">
        <f>+ Equity_market!B20</f>
        <v>0</v>
      </c>
      <c r="Q62" s="92">
        <f>+ Equity_market!C20</f>
        <v>0</v>
      </c>
      <c r="R62" s="92">
        <f>+ Equity_market!D20</f>
        <v>0</v>
      </c>
      <c r="T62" s="91">
        <v>6</v>
      </c>
      <c r="U62" s="92">
        <f>+ Equity_market!G20</f>
        <v>0</v>
      </c>
      <c r="V62" s="92">
        <f>+ Equity_market!H20</f>
        <v>0</v>
      </c>
      <c r="W62" s="92">
        <f>+ Equity_market!I20</f>
        <v>0</v>
      </c>
    </row>
    <row r="63" spans="3:23">
      <c r="C63" s="130"/>
      <c r="E63" s="91">
        <v>7</v>
      </c>
      <c r="F63" s="92">
        <f>+ Equity_market!AP21</f>
        <v>0</v>
      </c>
      <c r="G63" s="92">
        <f>+ Equity_market!AQ21</f>
        <v>0</v>
      </c>
      <c r="H63" s="92">
        <f>+ Equity_market!AR21</f>
        <v>0</v>
      </c>
      <c r="J63" s="91">
        <v>7</v>
      </c>
      <c r="K63" s="92">
        <f>+ Equity_market!AU21</f>
        <v>0</v>
      </c>
      <c r="L63" s="92">
        <f>+ Equity_market!AV21</f>
        <v>0</v>
      </c>
      <c r="M63" s="92">
        <f>+ Equity_market!AW21</f>
        <v>0</v>
      </c>
      <c r="O63" s="91">
        <v>7</v>
      </c>
      <c r="P63" s="92">
        <f>+ Equity_market!B21</f>
        <v>0</v>
      </c>
      <c r="Q63" s="92">
        <f>+ Equity_market!C21</f>
        <v>0</v>
      </c>
      <c r="R63" s="92">
        <f>+ Equity_market!D21</f>
        <v>0</v>
      </c>
      <c r="T63" s="91">
        <v>7</v>
      </c>
      <c r="U63" s="92">
        <f>+ Equity_market!G21</f>
        <v>0</v>
      </c>
      <c r="V63" s="92">
        <f>+ Equity_market!H21</f>
        <v>0</v>
      </c>
      <c r="W63" s="92">
        <f>+ Equity_market!I21</f>
        <v>0</v>
      </c>
    </row>
    <row r="64" spans="3:23">
      <c r="C64" s="130"/>
      <c r="E64" s="91">
        <v>8</v>
      </c>
      <c r="F64" s="92">
        <f>+ Equity_market!AP22</f>
        <v>0</v>
      </c>
      <c r="G64" s="92">
        <f>+ Equity_market!AQ22</f>
        <v>0</v>
      </c>
      <c r="H64" s="92">
        <f>+ Equity_market!AR22</f>
        <v>0</v>
      </c>
      <c r="J64" s="91">
        <v>8</v>
      </c>
      <c r="K64" s="92">
        <f>+ Equity_market!AU22</f>
        <v>0</v>
      </c>
      <c r="L64" s="92">
        <f>+ Equity_market!AV22</f>
        <v>0</v>
      </c>
      <c r="M64" s="92">
        <f>+ Equity_market!AW22</f>
        <v>0</v>
      </c>
      <c r="O64" s="91">
        <v>8</v>
      </c>
      <c r="P64" s="92">
        <f>+ Equity_market!B22</f>
        <v>0</v>
      </c>
      <c r="Q64" s="92">
        <f>+ Equity_market!C22</f>
        <v>0</v>
      </c>
      <c r="R64" s="92">
        <f>+ Equity_market!D22</f>
        <v>0</v>
      </c>
      <c r="T64" s="91">
        <v>8</v>
      </c>
      <c r="U64" s="92">
        <f>+ Equity_market!G22</f>
        <v>0</v>
      </c>
      <c r="V64" s="92">
        <f>+ Equity_market!H22</f>
        <v>0</v>
      </c>
      <c r="W64" s="92">
        <f>+ Equity_market!I22</f>
        <v>0</v>
      </c>
    </row>
    <row r="65" spans="3:23">
      <c r="C65" s="130"/>
      <c r="E65" s="91">
        <v>9</v>
      </c>
      <c r="F65" s="92">
        <f>+ Equity_market!AP23</f>
        <v>0</v>
      </c>
      <c r="G65" s="92">
        <f>+ Equity_market!AQ23</f>
        <v>0</v>
      </c>
      <c r="H65" s="92">
        <f>+ Equity_market!AR23</f>
        <v>0</v>
      </c>
      <c r="J65" s="91">
        <v>9</v>
      </c>
      <c r="K65" s="92">
        <f>+ Equity_market!AU23</f>
        <v>0</v>
      </c>
      <c r="L65" s="92">
        <f>+ Equity_market!AV23</f>
        <v>0</v>
      </c>
      <c r="M65" s="92">
        <f>+ Equity_market!AW23</f>
        <v>0</v>
      </c>
      <c r="O65" s="91">
        <v>9</v>
      </c>
      <c r="P65" s="92">
        <f>+ Equity_market!B23</f>
        <v>0</v>
      </c>
      <c r="Q65" s="92">
        <f>+ Equity_market!C23</f>
        <v>0</v>
      </c>
      <c r="R65" s="92">
        <f>+ Equity_market!D23</f>
        <v>0</v>
      </c>
      <c r="T65" s="91">
        <v>9</v>
      </c>
      <c r="U65" s="92">
        <f>+ Equity_market!G23</f>
        <v>0</v>
      </c>
      <c r="V65" s="92">
        <f>+ Equity_market!H23</f>
        <v>0</v>
      </c>
      <c r="W65" s="92">
        <f>+ Equity_market!I23</f>
        <v>0</v>
      </c>
    </row>
    <row r="66" spans="3:23">
      <c r="C66" s="130"/>
      <c r="E66" s="91">
        <v>10</v>
      </c>
      <c r="F66" s="92">
        <f>+ Equity_market!AP24</f>
        <v>0</v>
      </c>
      <c r="G66" s="92">
        <f>+ Equity_market!AQ24</f>
        <v>0</v>
      </c>
      <c r="H66" s="92">
        <f>+ Equity_market!AR24</f>
        <v>0</v>
      </c>
      <c r="J66" s="91">
        <v>10</v>
      </c>
      <c r="K66" s="92">
        <f>+ Equity_market!AU24</f>
        <v>0</v>
      </c>
      <c r="L66" s="92">
        <f>+ Equity_market!AV24</f>
        <v>0</v>
      </c>
      <c r="M66" s="92">
        <f>+ Equity_market!AW24</f>
        <v>0</v>
      </c>
      <c r="O66" s="91">
        <v>10</v>
      </c>
      <c r="P66" s="92">
        <f>+ Equity_market!B24</f>
        <v>0</v>
      </c>
      <c r="Q66" s="92">
        <f>+ Equity_market!C24</f>
        <v>0</v>
      </c>
      <c r="R66" s="92">
        <f>+ Equity_market!D24</f>
        <v>0</v>
      </c>
      <c r="T66" s="91">
        <v>10</v>
      </c>
      <c r="U66" s="92">
        <f>+ Equity_market!G24</f>
        <v>0</v>
      </c>
      <c r="V66" s="92">
        <f>+ Equity_market!H24</f>
        <v>0</v>
      </c>
      <c r="W66" s="92">
        <f>+ Equity_market!I24</f>
        <v>0</v>
      </c>
    </row>
    <row r="72" spans="3:23" ht="5.0999999999999996" customHeight="1"/>
    <row r="87" ht="5.0999999999999996" customHeight="1"/>
  </sheetData>
  <mergeCells count="11">
    <mergeCell ref="C4:W5"/>
    <mergeCell ref="C39:C66"/>
    <mergeCell ref="E39:M39"/>
    <mergeCell ref="O39:W39"/>
    <mergeCell ref="E54:M54"/>
    <mergeCell ref="O54:W54"/>
    <mergeCell ref="C7:C34"/>
    <mergeCell ref="E7:M7"/>
    <mergeCell ref="O7:W7"/>
    <mergeCell ref="E22:M22"/>
    <mergeCell ref="O22:W22"/>
  </mergeCells>
  <conditionalFormatting sqref="F10:F19">
    <cfRule type="cellIs" dxfId="71" priority="53" operator="lessThan">
      <formula>0</formula>
    </cfRule>
    <cfRule type="cellIs" dxfId="70" priority="54" operator="greaterThan">
      <formula>0</formula>
    </cfRule>
  </conditionalFormatting>
  <conditionalFormatting sqref="F42:F51">
    <cfRule type="cellIs" dxfId="69" priority="37" operator="lessThan">
      <formula>0</formula>
    </cfRule>
    <cfRule type="cellIs" dxfId="68" priority="38" operator="greaterThan">
      <formula>0</formula>
    </cfRule>
  </conditionalFormatting>
  <conditionalFormatting sqref="K42:K51">
    <cfRule type="cellIs" dxfId="67" priority="35" operator="lessThan">
      <formula>0</formula>
    </cfRule>
    <cfRule type="cellIs" dxfId="66" priority="36" operator="greaterThan">
      <formula>0</formula>
    </cfRule>
  </conditionalFormatting>
  <conditionalFormatting sqref="P42:P51">
    <cfRule type="cellIs" dxfId="65" priority="33" operator="lessThan">
      <formula>0</formula>
    </cfRule>
    <cfRule type="cellIs" dxfId="64" priority="34" operator="greaterThan">
      <formula>0</formula>
    </cfRule>
  </conditionalFormatting>
  <conditionalFormatting sqref="U42:U51">
    <cfRule type="cellIs" dxfId="63" priority="31" operator="lessThan">
      <formula>0</formula>
    </cfRule>
    <cfRule type="cellIs" dxfId="62" priority="32" operator="greaterThan">
      <formula>0</formula>
    </cfRule>
  </conditionalFormatting>
  <conditionalFormatting sqref="F25:F34">
    <cfRule type="cellIs" dxfId="61" priority="21" operator="lessThan">
      <formula>0</formula>
    </cfRule>
    <cfRule type="cellIs" dxfId="60" priority="22" operator="greaterThan">
      <formula>0</formula>
    </cfRule>
  </conditionalFormatting>
  <conditionalFormatting sqref="K10:K19">
    <cfRule type="cellIs" dxfId="59" priority="19" operator="lessThan">
      <formula>0</formula>
    </cfRule>
    <cfRule type="cellIs" dxfId="58" priority="20" operator="greaterThan">
      <formula>0</formula>
    </cfRule>
  </conditionalFormatting>
  <conditionalFormatting sqref="P10:P19">
    <cfRule type="cellIs" dxfId="57" priority="17" operator="lessThan">
      <formula>0</formula>
    </cfRule>
    <cfRule type="cellIs" dxfId="56" priority="18" operator="greaterThan">
      <formula>0</formula>
    </cfRule>
  </conditionalFormatting>
  <conditionalFormatting sqref="U10:U19">
    <cfRule type="cellIs" dxfId="55" priority="15" operator="lessThan">
      <formula>0</formula>
    </cfRule>
    <cfRule type="cellIs" dxfId="54" priority="16" operator="greaterThan">
      <formula>0</formula>
    </cfRule>
  </conditionalFormatting>
  <conditionalFormatting sqref="K25:K34">
    <cfRule type="cellIs" dxfId="53" priority="13" operator="lessThan">
      <formula>0</formula>
    </cfRule>
    <cfRule type="cellIs" dxfId="52" priority="14" operator="greaterThan">
      <formula>0</formula>
    </cfRule>
  </conditionalFormatting>
  <conditionalFormatting sqref="P25:P34">
    <cfRule type="cellIs" dxfId="51" priority="11" operator="lessThan">
      <formula>0</formula>
    </cfRule>
    <cfRule type="cellIs" dxfId="50" priority="12" operator="greaterThan">
      <formula>0</formula>
    </cfRule>
  </conditionalFormatting>
  <conditionalFormatting sqref="U25:U34">
    <cfRule type="cellIs" dxfId="49" priority="9" operator="lessThan">
      <formula>0</formula>
    </cfRule>
    <cfRule type="cellIs" dxfId="48" priority="10" operator="greaterThan">
      <formula>0</formula>
    </cfRule>
  </conditionalFormatting>
  <conditionalFormatting sqref="F57:F66">
    <cfRule type="cellIs" dxfId="47" priority="7" operator="lessThan">
      <formula>0</formula>
    </cfRule>
    <cfRule type="cellIs" dxfId="46" priority="8" operator="greaterThan">
      <formula>0</formula>
    </cfRule>
  </conditionalFormatting>
  <conditionalFormatting sqref="K57:K66">
    <cfRule type="cellIs" dxfId="45" priority="5" operator="lessThan">
      <formula>0</formula>
    </cfRule>
    <cfRule type="cellIs" dxfId="44" priority="6" operator="greaterThan">
      <formula>0</formula>
    </cfRule>
  </conditionalFormatting>
  <conditionalFormatting sqref="P57:P66">
    <cfRule type="cellIs" dxfId="43" priority="3" operator="lessThan">
      <formula>0</formula>
    </cfRule>
    <cfRule type="cellIs" dxfId="42" priority="4" operator="greaterThan">
      <formula>0</formula>
    </cfRule>
  </conditionalFormatting>
  <conditionalFormatting sqref="U57:U66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" right="0.7" top="0.75" bottom="0.75" header="0.3" footer="0.3"/>
  <pageSetup paperSize="9" scale="35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8"/>
  <dimension ref="B1:W74"/>
  <sheetViews>
    <sheetView workbookViewId="0">
      <selection activeCell="G25" sqref="G25"/>
    </sheetView>
  </sheetViews>
  <sheetFormatPr defaultRowHeight="15"/>
  <cols>
    <col min="2" max="3" width="9.140625" style="77"/>
    <col min="4" max="4" width="4.5703125" style="77" customWidth="1"/>
    <col min="5" max="5" width="5.140625" style="84" bestFit="1" customWidth="1"/>
    <col min="6" max="6" width="10.5703125" style="77" customWidth="1"/>
    <col min="7" max="7" width="14.42578125" style="77" bestFit="1" customWidth="1"/>
    <col min="8" max="8" width="37.7109375" style="77" customWidth="1"/>
    <col min="9" max="9" width="9.140625" style="77"/>
    <col min="10" max="10" width="7.5703125" style="84" bestFit="1" customWidth="1"/>
    <col min="11" max="11" width="9.7109375" style="77" bestFit="1" customWidth="1"/>
    <col min="12" max="12" width="15.140625" style="77" bestFit="1" customWidth="1"/>
    <col min="13" max="13" width="37.7109375" style="77" customWidth="1"/>
    <col min="14" max="14" width="9.140625" style="77"/>
    <col min="15" max="15" width="5.140625" style="84" bestFit="1" customWidth="1"/>
    <col min="16" max="16" width="9.7109375" style="77" bestFit="1" customWidth="1"/>
    <col min="17" max="17" width="14.42578125" style="77" bestFit="1" customWidth="1"/>
    <col min="18" max="18" width="37.7109375" style="77" customWidth="1"/>
    <col min="19" max="19" width="9.140625" style="77"/>
    <col min="20" max="20" width="7.5703125" style="84" bestFit="1" customWidth="1"/>
    <col min="21" max="21" width="9.7109375" style="77" bestFit="1" customWidth="1"/>
    <col min="22" max="22" width="15.140625" style="77" bestFit="1" customWidth="1"/>
    <col min="23" max="23" width="37.7109375" style="77" customWidth="1"/>
  </cols>
  <sheetData>
    <row r="1" spans="3:23" s="77" customFormat="1">
      <c r="E1" s="84"/>
      <c r="J1" s="84"/>
      <c r="O1" s="84"/>
      <c r="T1" s="84"/>
    </row>
    <row r="2" spans="3:23" s="77" customFormat="1">
      <c r="E2" s="84"/>
      <c r="J2" s="84"/>
      <c r="O2" s="84"/>
      <c r="T2" s="84"/>
    </row>
    <row r="4" spans="3:23" ht="15" customHeight="1">
      <c r="C4" s="129" t="s">
        <v>160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</row>
    <row r="5" spans="3:23" ht="15" customHeight="1"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</row>
    <row r="7" spans="3:23" s="77" customFormat="1" ht="21" customHeight="1">
      <c r="C7" s="130" t="s">
        <v>158</v>
      </c>
      <c r="E7" s="131" t="s">
        <v>149</v>
      </c>
      <c r="F7" s="131"/>
      <c r="G7" s="131"/>
      <c r="H7" s="131"/>
      <c r="I7" s="131"/>
      <c r="J7" s="131"/>
      <c r="K7" s="131"/>
      <c r="L7" s="131"/>
      <c r="M7" s="131"/>
      <c r="O7" s="131" t="s">
        <v>150</v>
      </c>
      <c r="P7" s="131"/>
      <c r="Q7" s="131"/>
      <c r="R7" s="131"/>
      <c r="S7" s="131"/>
      <c r="T7" s="131"/>
      <c r="U7" s="131"/>
      <c r="V7" s="131"/>
      <c r="W7" s="131"/>
    </row>
    <row r="8" spans="3:23" s="77" customFormat="1" ht="5.0999999999999996" customHeight="1">
      <c r="C8" s="130"/>
      <c r="E8" s="84"/>
      <c r="F8" s="92"/>
      <c r="J8" s="84"/>
      <c r="K8" s="92"/>
      <c r="O8" s="84"/>
      <c r="P8" s="92"/>
      <c r="T8" s="84"/>
      <c r="U8" s="92"/>
    </row>
    <row r="9" spans="3:23" s="77" customFormat="1">
      <c r="C9" s="130"/>
      <c r="E9" s="94" t="s">
        <v>151</v>
      </c>
      <c r="F9" s="93" t="s">
        <v>173</v>
      </c>
      <c r="G9" s="94" t="s">
        <v>2</v>
      </c>
      <c r="H9" s="94" t="s">
        <v>153</v>
      </c>
      <c r="J9" s="94" t="s">
        <v>154</v>
      </c>
      <c r="K9" s="93" t="s">
        <v>173</v>
      </c>
      <c r="L9" s="94" t="s">
        <v>2</v>
      </c>
      <c r="M9" s="94" t="s">
        <v>153</v>
      </c>
      <c r="O9" s="94" t="s">
        <v>151</v>
      </c>
      <c r="P9" s="93" t="s">
        <v>173</v>
      </c>
      <c r="Q9" s="94" t="s">
        <v>2</v>
      </c>
      <c r="R9" s="94" t="s">
        <v>153</v>
      </c>
      <c r="T9" s="94" t="s">
        <v>154</v>
      </c>
      <c r="U9" s="93" t="s">
        <v>173</v>
      </c>
      <c r="V9" s="94" t="s">
        <v>2</v>
      </c>
      <c r="W9" s="94" t="s">
        <v>153</v>
      </c>
    </row>
    <row r="10" spans="3:23" s="77" customFormat="1">
      <c r="C10" s="130"/>
      <c r="E10" s="95">
        <v>1</v>
      </c>
      <c r="F10" s="92">
        <f>+ Equity_market!L28</f>
        <v>0</v>
      </c>
      <c r="G10" s="92">
        <f>+ Equity_market!M28</f>
        <v>0</v>
      </c>
      <c r="H10" s="92">
        <f>+ Equity_market!N28</f>
        <v>0</v>
      </c>
      <c r="J10" s="95">
        <v>1</v>
      </c>
      <c r="K10" s="92">
        <f>+ Equity_market!Q28</f>
        <v>0</v>
      </c>
      <c r="L10" s="92">
        <f>+ Equity_market!R28</f>
        <v>0</v>
      </c>
      <c r="M10" s="92">
        <f>+ Equity_market!S28</f>
        <v>0</v>
      </c>
      <c r="O10" s="95">
        <v>1</v>
      </c>
      <c r="P10" s="92">
        <f>+ Equity_market!V28</f>
        <v>0</v>
      </c>
      <c r="Q10" s="92">
        <f>+ Equity_market!W28</f>
        <v>0</v>
      </c>
      <c r="R10" s="92">
        <f>+ Equity_market!X28</f>
        <v>0</v>
      </c>
      <c r="T10" s="95">
        <v>1</v>
      </c>
      <c r="U10" s="92">
        <f>+ Equity_market!AA28</f>
        <v>0</v>
      </c>
      <c r="V10" s="92">
        <f>+ Equity_market!AB28</f>
        <v>0</v>
      </c>
      <c r="W10" s="92">
        <f>+ Equity_market!AC28</f>
        <v>0</v>
      </c>
    </row>
    <row r="11" spans="3:23" s="77" customFormat="1">
      <c r="C11" s="130"/>
      <c r="E11" s="95">
        <v>2</v>
      </c>
      <c r="F11" s="92">
        <f>+ Equity_market!L29</f>
        <v>0</v>
      </c>
      <c r="G11" s="92">
        <f>+ Equity_market!M29</f>
        <v>0</v>
      </c>
      <c r="H11" s="92">
        <f>+ Equity_market!N29</f>
        <v>0</v>
      </c>
      <c r="J11" s="95">
        <v>2</v>
      </c>
      <c r="K11" s="92">
        <f>+ Equity_market!Q29</f>
        <v>0</v>
      </c>
      <c r="L11" s="92">
        <f>+ Equity_market!R29</f>
        <v>0</v>
      </c>
      <c r="M11" s="92">
        <f>+ Equity_market!S29</f>
        <v>0</v>
      </c>
      <c r="O11" s="95">
        <v>2</v>
      </c>
      <c r="P11" s="92">
        <f>+ Equity_market!V29</f>
        <v>0</v>
      </c>
      <c r="Q11" s="92">
        <f>+ Equity_market!W29</f>
        <v>0</v>
      </c>
      <c r="R11" s="92">
        <f>+ Equity_market!X29</f>
        <v>0</v>
      </c>
      <c r="T11" s="95">
        <v>2</v>
      </c>
      <c r="U11" s="92">
        <f>+ Equity_market!AA29</f>
        <v>0</v>
      </c>
      <c r="V11" s="92">
        <f>+ Equity_market!AB29</f>
        <v>0</v>
      </c>
      <c r="W11" s="92">
        <f>+ Equity_market!AC29</f>
        <v>0</v>
      </c>
    </row>
    <row r="12" spans="3:23" s="77" customFormat="1">
      <c r="C12" s="130"/>
      <c r="E12" s="95">
        <v>3</v>
      </c>
      <c r="F12" s="92">
        <f>+ Equity_market!L30</f>
        <v>0</v>
      </c>
      <c r="G12" s="92">
        <f>+ Equity_market!M30</f>
        <v>0</v>
      </c>
      <c r="H12" s="92">
        <f>+ Equity_market!N30</f>
        <v>0</v>
      </c>
      <c r="J12" s="95">
        <v>3</v>
      </c>
      <c r="K12" s="92">
        <f>+ Equity_market!Q30</f>
        <v>0</v>
      </c>
      <c r="L12" s="92">
        <f>+ Equity_market!R30</f>
        <v>0</v>
      </c>
      <c r="M12" s="92">
        <f>+ Equity_market!S30</f>
        <v>0</v>
      </c>
      <c r="O12" s="95">
        <v>3</v>
      </c>
      <c r="P12" s="92">
        <f>+ Equity_market!V30</f>
        <v>0</v>
      </c>
      <c r="Q12" s="92">
        <f>+ Equity_market!W30</f>
        <v>0</v>
      </c>
      <c r="R12" s="92">
        <f>+ Equity_market!X30</f>
        <v>0</v>
      </c>
      <c r="T12" s="95">
        <v>3</v>
      </c>
      <c r="U12" s="92">
        <f>+ Equity_market!AA30</f>
        <v>0</v>
      </c>
      <c r="V12" s="92">
        <f>+ Equity_market!AB30</f>
        <v>0</v>
      </c>
      <c r="W12" s="92">
        <f>+ Equity_market!AC30</f>
        <v>0</v>
      </c>
    </row>
    <row r="13" spans="3:23" s="77" customFormat="1">
      <c r="C13" s="130"/>
      <c r="E13" s="95">
        <v>4</v>
      </c>
      <c r="F13" s="92">
        <f>+ Equity_market!L31</f>
        <v>0</v>
      </c>
      <c r="G13" s="92">
        <f>+ Equity_market!M31</f>
        <v>0</v>
      </c>
      <c r="H13" s="92">
        <f>+ Equity_market!N31</f>
        <v>0</v>
      </c>
      <c r="J13" s="95">
        <v>4</v>
      </c>
      <c r="K13" s="92">
        <f>+ Equity_market!Q31</f>
        <v>0</v>
      </c>
      <c r="L13" s="92">
        <f>+ Equity_market!R31</f>
        <v>0</v>
      </c>
      <c r="M13" s="92">
        <f>+ Equity_market!S31</f>
        <v>0</v>
      </c>
      <c r="O13" s="95">
        <v>4</v>
      </c>
      <c r="P13" s="92">
        <f>+ Equity_market!V31</f>
        <v>0</v>
      </c>
      <c r="Q13" s="92">
        <f>+ Equity_market!W31</f>
        <v>0</v>
      </c>
      <c r="R13" s="92">
        <f>+ Equity_market!X31</f>
        <v>0</v>
      </c>
      <c r="T13" s="95">
        <v>4</v>
      </c>
      <c r="U13" s="92">
        <f>+ Equity_market!AA31</f>
        <v>0</v>
      </c>
      <c r="V13" s="92">
        <f>+ Equity_market!AB31</f>
        <v>0</v>
      </c>
      <c r="W13" s="92">
        <f>+ Equity_market!AC31</f>
        <v>0</v>
      </c>
    </row>
    <row r="14" spans="3:23" s="77" customFormat="1">
      <c r="C14" s="130"/>
      <c r="E14" s="95">
        <v>5</v>
      </c>
      <c r="F14" s="92">
        <f>+ Equity_market!L32</f>
        <v>0</v>
      </c>
      <c r="G14" s="92">
        <f>+ Equity_market!M32</f>
        <v>0</v>
      </c>
      <c r="H14" s="92">
        <f>+ Equity_market!N32</f>
        <v>0</v>
      </c>
      <c r="J14" s="95">
        <v>5</v>
      </c>
      <c r="K14" s="92">
        <f>+ Equity_market!Q32</f>
        <v>0</v>
      </c>
      <c r="L14" s="92">
        <f>+ Equity_market!R32</f>
        <v>0</v>
      </c>
      <c r="M14" s="92">
        <f>+ Equity_market!S32</f>
        <v>0</v>
      </c>
      <c r="O14" s="95">
        <v>5</v>
      </c>
      <c r="P14" s="92">
        <f>+ Equity_market!V32</f>
        <v>0</v>
      </c>
      <c r="Q14" s="92">
        <f>+ Equity_market!W32</f>
        <v>0</v>
      </c>
      <c r="R14" s="92">
        <f>+ Equity_market!X32</f>
        <v>0</v>
      </c>
      <c r="T14" s="95">
        <v>5</v>
      </c>
      <c r="U14" s="92">
        <f>+ Equity_market!AA32</f>
        <v>0</v>
      </c>
      <c r="V14" s="92">
        <f>+ Equity_market!AB32</f>
        <v>0</v>
      </c>
      <c r="W14" s="92">
        <f>+ Equity_market!AC32</f>
        <v>0</v>
      </c>
    </row>
    <row r="15" spans="3:23" s="77" customFormat="1">
      <c r="C15" s="130"/>
      <c r="E15" s="95">
        <v>6</v>
      </c>
      <c r="F15" s="92">
        <f>+ Equity_market!L33</f>
        <v>0</v>
      </c>
      <c r="G15" s="92">
        <f>+ Equity_market!M33</f>
        <v>0</v>
      </c>
      <c r="H15" s="92">
        <f>+ Equity_market!N33</f>
        <v>0</v>
      </c>
      <c r="J15" s="95">
        <v>6</v>
      </c>
      <c r="K15" s="92">
        <f>+ Equity_market!Q33</f>
        <v>0</v>
      </c>
      <c r="L15" s="92">
        <f>+ Equity_market!R33</f>
        <v>0</v>
      </c>
      <c r="M15" s="92">
        <f>+ Equity_market!S33</f>
        <v>0</v>
      </c>
      <c r="O15" s="95">
        <v>6</v>
      </c>
      <c r="P15" s="92">
        <f>+ Equity_market!V33</f>
        <v>0</v>
      </c>
      <c r="Q15" s="92">
        <f>+ Equity_market!W33</f>
        <v>0</v>
      </c>
      <c r="R15" s="92">
        <f>+ Equity_market!X33</f>
        <v>0</v>
      </c>
      <c r="T15" s="95">
        <v>6</v>
      </c>
      <c r="U15" s="92">
        <f>+ Equity_market!AA33</f>
        <v>0</v>
      </c>
      <c r="V15" s="92">
        <f>+ Equity_market!AB33</f>
        <v>0</v>
      </c>
      <c r="W15" s="92">
        <f>+ Equity_market!AC33</f>
        <v>0</v>
      </c>
    </row>
    <row r="16" spans="3:23" s="77" customFormat="1">
      <c r="C16" s="130"/>
      <c r="E16" s="95">
        <v>7</v>
      </c>
      <c r="F16" s="92">
        <f>+ Equity_market!L34</f>
        <v>0</v>
      </c>
      <c r="G16" s="92">
        <f>+ Equity_market!M34</f>
        <v>0</v>
      </c>
      <c r="H16" s="92">
        <f>+ Equity_market!N34</f>
        <v>0</v>
      </c>
      <c r="J16" s="95">
        <v>7</v>
      </c>
      <c r="K16" s="92">
        <f>+ Equity_market!Q34</f>
        <v>0</v>
      </c>
      <c r="L16" s="92">
        <f>+ Equity_market!R34</f>
        <v>0</v>
      </c>
      <c r="M16" s="92">
        <f>+ Equity_market!S34</f>
        <v>0</v>
      </c>
      <c r="O16" s="95">
        <v>7</v>
      </c>
      <c r="P16" s="92">
        <f>+ Equity_market!V34</f>
        <v>0</v>
      </c>
      <c r="Q16" s="92">
        <f>+ Equity_market!W34</f>
        <v>0</v>
      </c>
      <c r="R16" s="92">
        <f>+ Equity_market!X34</f>
        <v>0</v>
      </c>
      <c r="T16" s="95">
        <v>7</v>
      </c>
      <c r="U16" s="92">
        <f>+ Equity_market!AA34</f>
        <v>0</v>
      </c>
      <c r="V16" s="92">
        <f>+ Equity_market!AB34</f>
        <v>0</v>
      </c>
      <c r="W16" s="92">
        <f>+ Equity_market!AC34</f>
        <v>0</v>
      </c>
    </row>
    <row r="17" spans="3:23" s="77" customFormat="1">
      <c r="C17" s="130"/>
      <c r="E17" s="95">
        <v>8</v>
      </c>
      <c r="F17" s="92">
        <f>+ Equity_market!L35</f>
        <v>0</v>
      </c>
      <c r="G17" s="92">
        <f>+ Equity_market!M35</f>
        <v>0</v>
      </c>
      <c r="H17" s="92">
        <f>+ Equity_market!N35</f>
        <v>0</v>
      </c>
      <c r="J17" s="95">
        <v>8</v>
      </c>
      <c r="K17" s="92">
        <f>+ Equity_market!Q35</f>
        <v>0</v>
      </c>
      <c r="L17" s="92">
        <f>+ Equity_market!R35</f>
        <v>0</v>
      </c>
      <c r="M17" s="92">
        <f>+ Equity_market!S35</f>
        <v>0</v>
      </c>
      <c r="O17" s="95">
        <v>8</v>
      </c>
      <c r="P17" s="92">
        <f>+ Equity_market!V35</f>
        <v>0</v>
      </c>
      <c r="Q17" s="92">
        <f>+ Equity_market!W35</f>
        <v>0</v>
      </c>
      <c r="R17" s="92">
        <f>+ Equity_market!X35</f>
        <v>0</v>
      </c>
      <c r="T17" s="95">
        <v>8</v>
      </c>
      <c r="U17" s="92">
        <f>+ Equity_market!AA35</f>
        <v>0</v>
      </c>
      <c r="V17" s="92">
        <f>+ Equity_market!AB35</f>
        <v>0</v>
      </c>
      <c r="W17" s="92">
        <f>+ Equity_market!AC35</f>
        <v>0</v>
      </c>
    </row>
    <row r="18" spans="3:23" s="77" customFormat="1">
      <c r="C18" s="130"/>
      <c r="E18" s="95">
        <v>9</v>
      </c>
      <c r="F18" s="92">
        <f>+ Equity_market!L36</f>
        <v>0</v>
      </c>
      <c r="G18" s="92">
        <f>+ Equity_market!M36</f>
        <v>0</v>
      </c>
      <c r="H18" s="92">
        <f>+ Equity_market!N36</f>
        <v>0</v>
      </c>
      <c r="J18" s="95">
        <v>9</v>
      </c>
      <c r="K18" s="92">
        <f>+ Equity_market!Q36</f>
        <v>0</v>
      </c>
      <c r="L18" s="92">
        <f>+ Equity_market!R36</f>
        <v>0</v>
      </c>
      <c r="M18" s="92">
        <f>+ Equity_market!S36</f>
        <v>0</v>
      </c>
      <c r="O18" s="95">
        <v>9</v>
      </c>
      <c r="P18" s="92">
        <f>+ Equity_market!V36</f>
        <v>0</v>
      </c>
      <c r="Q18" s="92">
        <f>+ Equity_market!W36</f>
        <v>0</v>
      </c>
      <c r="R18" s="92">
        <f>+ Equity_market!X36</f>
        <v>0</v>
      </c>
      <c r="T18" s="95">
        <v>9</v>
      </c>
      <c r="U18" s="92">
        <f>+ Equity_market!AA36</f>
        <v>0</v>
      </c>
      <c r="V18" s="92">
        <f>+ Equity_market!AB36</f>
        <v>0</v>
      </c>
      <c r="W18" s="92">
        <f>+ Equity_market!AC36</f>
        <v>0</v>
      </c>
    </row>
    <row r="19" spans="3:23" s="77" customFormat="1">
      <c r="C19" s="130"/>
      <c r="E19" s="95">
        <v>10</v>
      </c>
      <c r="F19" s="92">
        <f>+ Equity_market!L37</f>
        <v>0</v>
      </c>
      <c r="G19" s="92">
        <f>+ Equity_market!M37</f>
        <v>0</v>
      </c>
      <c r="H19" s="92">
        <f>+ Equity_market!N37</f>
        <v>0</v>
      </c>
      <c r="J19" s="95">
        <v>10</v>
      </c>
      <c r="K19" s="92">
        <f>+ Equity_market!Q37</f>
        <v>0</v>
      </c>
      <c r="L19" s="92">
        <f>+ Equity_market!R37</f>
        <v>0</v>
      </c>
      <c r="M19" s="92">
        <f>+ Equity_market!S37</f>
        <v>0</v>
      </c>
      <c r="O19" s="95">
        <v>10</v>
      </c>
      <c r="P19" s="92">
        <f>+ Equity_market!V37</f>
        <v>0</v>
      </c>
      <c r="Q19" s="92">
        <f>+ Equity_market!W37</f>
        <v>0</v>
      </c>
      <c r="R19" s="92">
        <f>+ Equity_market!X37</f>
        <v>0</v>
      </c>
      <c r="T19" s="95">
        <v>10</v>
      </c>
      <c r="U19" s="92">
        <f>+ Equity_market!AA37</f>
        <v>0</v>
      </c>
      <c r="V19" s="92">
        <f>+ Equity_market!AB37</f>
        <v>0</v>
      </c>
      <c r="W19" s="92">
        <f>+ Equity_market!AC37</f>
        <v>0</v>
      </c>
    </row>
    <row r="20" spans="3:23" s="77" customFormat="1">
      <c r="C20" s="130"/>
      <c r="E20" s="84"/>
      <c r="J20" s="84"/>
      <c r="O20" s="84"/>
      <c r="T20" s="84"/>
    </row>
    <row r="21" spans="3:23" s="77" customFormat="1">
      <c r="C21" s="130"/>
      <c r="E21" s="84"/>
      <c r="J21" s="84"/>
      <c r="O21" s="84"/>
      <c r="T21" s="84"/>
    </row>
    <row r="22" spans="3:23" s="77" customFormat="1" ht="21">
      <c r="C22" s="130"/>
      <c r="E22" s="131" t="s">
        <v>155</v>
      </c>
      <c r="F22" s="131"/>
      <c r="G22" s="131"/>
      <c r="H22" s="131"/>
      <c r="I22" s="131"/>
      <c r="J22" s="131"/>
      <c r="K22" s="131"/>
      <c r="L22" s="131"/>
      <c r="M22" s="131"/>
      <c r="O22" s="131" t="s">
        <v>156</v>
      </c>
      <c r="P22" s="131"/>
      <c r="Q22" s="131"/>
      <c r="R22" s="131"/>
      <c r="S22" s="131"/>
      <c r="T22" s="131"/>
      <c r="U22" s="131"/>
      <c r="V22" s="131"/>
      <c r="W22" s="131"/>
    </row>
    <row r="23" spans="3:23" s="77" customFormat="1" ht="5.0999999999999996" customHeight="1">
      <c r="C23" s="130"/>
      <c r="E23" s="84"/>
      <c r="F23" s="92"/>
      <c r="J23" s="84"/>
      <c r="K23" s="92"/>
      <c r="O23" s="84"/>
      <c r="P23" s="92"/>
      <c r="T23" s="84"/>
      <c r="U23" s="92"/>
    </row>
    <row r="24" spans="3:23" s="77" customFormat="1">
      <c r="C24" s="130"/>
      <c r="E24" s="94" t="s">
        <v>151</v>
      </c>
      <c r="F24" s="93" t="s">
        <v>173</v>
      </c>
      <c r="G24" s="94" t="s">
        <v>2</v>
      </c>
      <c r="H24" s="94" t="s">
        <v>153</v>
      </c>
      <c r="J24" s="94" t="s">
        <v>154</v>
      </c>
      <c r="K24" s="93" t="s">
        <v>173</v>
      </c>
      <c r="L24" s="94" t="s">
        <v>2</v>
      </c>
      <c r="M24" s="94" t="s">
        <v>153</v>
      </c>
      <c r="O24" s="94" t="s">
        <v>151</v>
      </c>
      <c r="P24" s="93" t="s">
        <v>173</v>
      </c>
      <c r="Q24" s="94" t="s">
        <v>2</v>
      </c>
      <c r="R24" s="94" t="s">
        <v>153</v>
      </c>
      <c r="T24" s="94" t="s">
        <v>154</v>
      </c>
      <c r="U24" s="93" t="s">
        <v>173</v>
      </c>
      <c r="V24" s="94" t="s">
        <v>2</v>
      </c>
      <c r="W24" s="94" t="s">
        <v>153</v>
      </c>
    </row>
    <row r="25" spans="3:23" s="77" customFormat="1">
      <c r="C25" s="130"/>
      <c r="E25" s="95">
        <v>1</v>
      </c>
      <c r="F25" s="92">
        <f>+ Equity_market!AP28</f>
        <v>0</v>
      </c>
      <c r="G25" s="92">
        <f>+ Equity_market!AQ28</f>
        <v>0</v>
      </c>
      <c r="H25" s="92">
        <f>+ Equity_market!AR28</f>
        <v>0</v>
      </c>
      <c r="J25" s="95">
        <v>1</v>
      </c>
      <c r="K25" s="92">
        <f>+ Equity_market!AU28</f>
        <v>0</v>
      </c>
      <c r="L25" s="92">
        <f>+ Equity_market!AV28</f>
        <v>0</v>
      </c>
      <c r="M25" s="92">
        <f>+ Equity_market!AW28</f>
        <v>0</v>
      </c>
      <c r="O25" s="95">
        <v>1</v>
      </c>
      <c r="P25" s="92">
        <f>+ Equity_market!B28</f>
        <v>0</v>
      </c>
      <c r="Q25" s="92">
        <f>+ Equity_market!C28</f>
        <v>0</v>
      </c>
      <c r="R25" s="92">
        <f>+ Equity_market!D28</f>
        <v>0</v>
      </c>
      <c r="T25" s="95">
        <v>1</v>
      </c>
      <c r="U25" s="92">
        <f>+ Equity_market!G28</f>
        <v>0</v>
      </c>
      <c r="V25" s="92">
        <f>+ Equity_market!H28</f>
        <v>0</v>
      </c>
      <c r="W25" s="92">
        <f>+ Equity_market!I28</f>
        <v>0</v>
      </c>
    </row>
    <row r="26" spans="3:23" s="77" customFormat="1">
      <c r="C26" s="130"/>
      <c r="E26" s="95">
        <v>2</v>
      </c>
      <c r="F26" s="92">
        <f>+ Equity_market!AP29</f>
        <v>0</v>
      </c>
      <c r="G26" s="92">
        <f>+ Equity_market!AQ29</f>
        <v>0</v>
      </c>
      <c r="H26" s="92">
        <f>+ Equity_market!AR29</f>
        <v>0</v>
      </c>
      <c r="J26" s="95">
        <v>2</v>
      </c>
      <c r="K26" s="92">
        <f>+ Equity_market!AU29</f>
        <v>0</v>
      </c>
      <c r="L26" s="92">
        <f>+ Equity_market!AV29</f>
        <v>0</v>
      </c>
      <c r="M26" s="92">
        <f>+ Equity_market!AW29</f>
        <v>0</v>
      </c>
      <c r="O26" s="95">
        <v>2</v>
      </c>
      <c r="P26" s="92">
        <f>+ Equity_market!B29</f>
        <v>0</v>
      </c>
      <c r="Q26" s="92">
        <f>+ Equity_market!C29</f>
        <v>0</v>
      </c>
      <c r="R26" s="92">
        <f>+ Equity_market!D29</f>
        <v>0</v>
      </c>
      <c r="T26" s="95">
        <v>2</v>
      </c>
      <c r="U26" s="92">
        <f>+ Equity_market!G29</f>
        <v>0</v>
      </c>
      <c r="V26" s="92">
        <f>+ Equity_market!H29</f>
        <v>0</v>
      </c>
      <c r="W26" s="92">
        <f>+ Equity_market!I29</f>
        <v>0</v>
      </c>
    </row>
    <row r="27" spans="3:23" s="77" customFormat="1">
      <c r="C27" s="130"/>
      <c r="E27" s="95">
        <v>3</v>
      </c>
      <c r="F27" s="92">
        <f>+ Equity_market!AP30</f>
        <v>0</v>
      </c>
      <c r="G27" s="92">
        <f>+ Equity_market!AQ30</f>
        <v>0</v>
      </c>
      <c r="H27" s="92">
        <f>+ Equity_market!AR30</f>
        <v>0</v>
      </c>
      <c r="J27" s="95">
        <v>3</v>
      </c>
      <c r="K27" s="92">
        <f>+ Equity_market!AU30</f>
        <v>0</v>
      </c>
      <c r="L27" s="92">
        <f>+ Equity_market!AV30</f>
        <v>0</v>
      </c>
      <c r="M27" s="92">
        <f>+ Equity_market!AW30</f>
        <v>0</v>
      </c>
      <c r="O27" s="95">
        <v>3</v>
      </c>
      <c r="P27" s="92">
        <f>+ Equity_market!B30</f>
        <v>0</v>
      </c>
      <c r="Q27" s="92">
        <f>+ Equity_market!C30</f>
        <v>0</v>
      </c>
      <c r="R27" s="92">
        <f>+ Equity_market!D30</f>
        <v>0</v>
      </c>
      <c r="T27" s="95">
        <v>3</v>
      </c>
      <c r="U27" s="92">
        <f>+ Equity_market!G30</f>
        <v>0</v>
      </c>
      <c r="V27" s="92">
        <f>+ Equity_market!H30</f>
        <v>0</v>
      </c>
      <c r="W27" s="92">
        <f>+ Equity_market!I30</f>
        <v>0</v>
      </c>
    </row>
    <row r="28" spans="3:23" s="77" customFormat="1">
      <c r="C28" s="130"/>
      <c r="E28" s="95">
        <v>4</v>
      </c>
      <c r="F28" s="92">
        <f>+ Equity_market!AP31</f>
        <v>0</v>
      </c>
      <c r="G28" s="92">
        <f>+ Equity_market!AQ31</f>
        <v>0</v>
      </c>
      <c r="H28" s="92">
        <f>+ Equity_market!AR31</f>
        <v>0</v>
      </c>
      <c r="J28" s="95">
        <v>4</v>
      </c>
      <c r="K28" s="92">
        <f>+ Equity_market!AU31</f>
        <v>0</v>
      </c>
      <c r="L28" s="92">
        <f>+ Equity_market!AV31</f>
        <v>0</v>
      </c>
      <c r="M28" s="92">
        <f>+ Equity_market!AW31</f>
        <v>0</v>
      </c>
      <c r="O28" s="95">
        <v>4</v>
      </c>
      <c r="P28" s="92">
        <f>+ Equity_market!B31</f>
        <v>0</v>
      </c>
      <c r="Q28" s="92">
        <f>+ Equity_market!C31</f>
        <v>0</v>
      </c>
      <c r="R28" s="92">
        <f>+ Equity_market!D31</f>
        <v>0</v>
      </c>
      <c r="T28" s="95">
        <v>4</v>
      </c>
      <c r="U28" s="92">
        <f>+ Equity_market!G31</f>
        <v>0</v>
      </c>
      <c r="V28" s="92">
        <f>+ Equity_market!H31</f>
        <v>0</v>
      </c>
      <c r="W28" s="92">
        <f>+ Equity_market!I31</f>
        <v>0</v>
      </c>
    </row>
    <row r="29" spans="3:23" s="77" customFormat="1">
      <c r="C29" s="130"/>
      <c r="E29" s="95">
        <v>5</v>
      </c>
      <c r="F29" s="92">
        <f>+ Equity_market!AP32</f>
        <v>0</v>
      </c>
      <c r="G29" s="92">
        <f>+ Equity_market!AQ32</f>
        <v>0</v>
      </c>
      <c r="H29" s="92">
        <f>+ Equity_market!AR32</f>
        <v>0</v>
      </c>
      <c r="J29" s="95">
        <v>5</v>
      </c>
      <c r="K29" s="92">
        <f>+ Equity_market!AU32</f>
        <v>0</v>
      </c>
      <c r="L29" s="92">
        <f>+ Equity_market!AV32</f>
        <v>0</v>
      </c>
      <c r="M29" s="92">
        <f>+ Equity_market!AW32</f>
        <v>0</v>
      </c>
      <c r="O29" s="95">
        <v>5</v>
      </c>
      <c r="P29" s="92">
        <f>+ Equity_market!B32</f>
        <v>0</v>
      </c>
      <c r="Q29" s="92">
        <f>+ Equity_market!C32</f>
        <v>0</v>
      </c>
      <c r="R29" s="92">
        <f>+ Equity_market!D32</f>
        <v>0</v>
      </c>
      <c r="T29" s="95">
        <v>5</v>
      </c>
      <c r="U29" s="92">
        <f>+ Equity_market!G32</f>
        <v>0</v>
      </c>
      <c r="V29" s="92">
        <f>+ Equity_market!H32</f>
        <v>0</v>
      </c>
      <c r="W29" s="92">
        <f>+ Equity_market!I32</f>
        <v>0</v>
      </c>
    </row>
    <row r="30" spans="3:23" s="77" customFormat="1">
      <c r="C30" s="130"/>
      <c r="E30" s="95">
        <v>6</v>
      </c>
      <c r="F30" s="92">
        <f>+ Equity_market!AP33</f>
        <v>0</v>
      </c>
      <c r="G30" s="92">
        <f>+ Equity_market!AQ33</f>
        <v>0</v>
      </c>
      <c r="H30" s="92">
        <f>+ Equity_market!AR33</f>
        <v>0</v>
      </c>
      <c r="J30" s="95">
        <v>6</v>
      </c>
      <c r="K30" s="92">
        <f>+ Equity_market!AU33</f>
        <v>0</v>
      </c>
      <c r="L30" s="92">
        <f>+ Equity_market!AV33</f>
        <v>0</v>
      </c>
      <c r="M30" s="92">
        <f>+ Equity_market!AW33</f>
        <v>0</v>
      </c>
      <c r="O30" s="95">
        <v>6</v>
      </c>
      <c r="P30" s="92">
        <f>+ Equity_market!B33</f>
        <v>0</v>
      </c>
      <c r="Q30" s="92">
        <f>+ Equity_market!C33</f>
        <v>0</v>
      </c>
      <c r="R30" s="92">
        <f>+ Equity_market!D33</f>
        <v>0</v>
      </c>
      <c r="T30" s="95">
        <v>6</v>
      </c>
      <c r="U30" s="92">
        <f>+ Equity_market!G33</f>
        <v>0</v>
      </c>
      <c r="V30" s="92">
        <f>+ Equity_market!H33</f>
        <v>0</v>
      </c>
      <c r="W30" s="92">
        <f>+ Equity_market!I33</f>
        <v>0</v>
      </c>
    </row>
    <row r="31" spans="3:23" s="77" customFormat="1">
      <c r="C31" s="130"/>
      <c r="E31" s="95">
        <v>7</v>
      </c>
      <c r="F31" s="92">
        <f>+ Equity_market!AP34</f>
        <v>0</v>
      </c>
      <c r="G31" s="92">
        <f>+ Equity_market!AQ34</f>
        <v>0</v>
      </c>
      <c r="H31" s="92">
        <f>+ Equity_market!AR34</f>
        <v>0</v>
      </c>
      <c r="J31" s="95">
        <v>7</v>
      </c>
      <c r="K31" s="92">
        <f>+ Equity_market!AU34</f>
        <v>0</v>
      </c>
      <c r="L31" s="92">
        <f>+ Equity_market!AV34</f>
        <v>0</v>
      </c>
      <c r="M31" s="92">
        <f>+ Equity_market!AW34</f>
        <v>0</v>
      </c>
      <c r="O31" s="95">
        <v>7</v>
      </c>
      <c r="P31" s="92">
        <f>+ Equity_market!B34</f>
        <v>0</v>
      </c>
      <c r="Q31" s="92">
        <f>+ Equity_market!C34</f>
        <v>0</v>
      </c>
      <c r="R31" s="92">
        <f>+ Equity_market!D34</f>
        <v>0</v>
      </c>
      <c r="T31" s="95">
        <v>7</v>
      </c>
      <c r="U31" s="92">
        <f>+ Equity_market!G34</f>
        <v>0</v>
      </c>
      <c r="V31" s="92">
        <f>+ Equity_market!H34</f>
        <v>0</v>
      </c>
      <c r="W31" s="92">
        <f>+ Equity_market!I34</f>
        <v>0</v>
      </c>
    </row>
    <row r="32" spans="3:23" s="77" customFormat="1">
      <c r="C32" s="130"/>
      <c r="E32" s="95">
        <v>8</v>
      </c>
      <c r="F32" s="92">
        <f>+ Equity_market!AP35</f>
        <v>0</v>
      </c>
      <c r="G32" s="92">
        <f>+ Equity_market!AQ35</f>
        <v>0</v>
      </c>
      <c r="H32" s="92">
        <f>+ Equity_market!AR35</f>
        <v>0</v>
      </c>
      <c r="J32" s="95">
        <v>8</v>
      </c>
      <c r="K32" s="92">
        <f>+ Equity_market!AU35</f>
        <v>0</v>
      </c>
      <c r="L32" s="92">
        <f>+ Equity_market!AV35</f>
        <v>0</v>
      </c>
      <c r="M32" s="92">
        <f>+ Equity_market!AW35</f>
        <v>0</v>
      </c>
      <c r="O32" s="95">
        <v>8</v>
      </c>
      <c r="P32" s="92">
        <f>+ Equity_market!B35</f>
        <v>0</v>
      </c>
      <c r="Q32" s="92">
        <f>+ Equity_market!C35</f>
        <v>0</v>
      </c>
      <c r="R32" s="92">
        <f>+ Equity_market!D35</f>
        <v>0</v>
      </c>
      <c r="T32" s="95">
        <v>8</v>
      </c>
      <c r="U32" s="92">
        <f>+ Equity_market!G35</f>
        <v>0</v>
      </c>
      <c r="V32" s="92">
        <f>+ Equity_market!H35</f>
        <v>0</v>
      </c>
      <c r="W32" s="92">
        <f>+ Equity_market!I35</f>
        <v>0</v>
      </c>
    </row>
    <row r="33" spans="3:23" s="77" customFormat="1">
      <c r="C33" s="130"/>
      <c r="E33" s="95">
        <v>9</v>
      </c>
      <c r="F33" s="92">
        <f>+ Equity_market!AP36</f>
        <v>0</v>
      </c>
      <c r="G33" s="92">
        <f>+ Equity_market!AQ36</f>
        <v>0</v>
      </c>
      <c r="H33" s="92">
        <f>+ Equity_market!AR36</f>
        <v>0</v>
      </c>
      <c r="J33" s="95">
        <v>9</v>
      </c>
      <c r="K33" s="92">
        <f>+ Equity_market!AU36</f>
        <v>0</v>
      </c>
      <c r="L33" s="92">
        <f>+ Equity_market!AV36</f>
        <v>0</v>
      </c>
      <c r="M33" s="92">
        <f>+ Equity_market!AW36</f>
        <v>0</v>
      </c>
      <c r="O33" s="95">
        <v>9</v>
      </c>
      <c r="P33" s="92">
        <f>+ Equity_market!B36</f>
        <v>0</v>
      </c>
      <c r="Q33" s="92">
        <f>+ Equity_market!C36</f>
        <v>0</v>
      </c>
      <c r="R33" s="92">
        <f>+ Equity_market!D36</f>
        <v>0</v>
      </c>
      <c r="T33" s="95">
        <v>9</v>
      </c>
      <c r="U33" s="92">
        <f>+ Equity_market!G36</f>
        <v>0</v>
      </c>
      <c r="V33" s="92">
        <f>+ Equity_market!H36</f>
        <v>0</v>
      </c>
      <c r="W33" s="92">
        <f>+ Equity_market!I36</f>
        <v>0</v>
      </c>
    </row>
    <row r="34" spans="3:23" s="77" customFormat="1">
      <c r="C34" s="130"/>
      <c r="E34" s="95">
        <v>10</v>
      </c>
      <c r="F34" s="92">
        <f>+ Equity_market!AP37</f>
        <v>0</v>
      </c>
      <c r="G34" s="92">
        <f>+ Equity_market!AQ37</f>
        <v>0</v>
      </c>
      <c r="H34" s="92">
        <f>+ Equity_market!AR37</f>
        <v>0</v>
      </c>
      <c r="J34" s="95">
        <v>10</v>
      </c>
      <c r="K34" s="92">
        <f>+ Equity_market!AU37</f>
        <v>0</v>
      </c>
      <c r="L34" s="92">
        <f>+ Equity_market!AV37</f>
        <v>0</v>
      </c>
      <c r="M34" s="92">
        <f>+ Equity_market!AW37</f>
        <v>0</v>
      </c>
      <c r="O34" s="95">
        <v>10</v>
      </c>
      <c r="P34" s="92">
        <f>+ Equity_market!B37</f>
        <v>0</v>
      </c>
      <c r="Q34" s="92">
        <f>+ Equity_market!C37</f>
        <v>0</v>
      </c>
      <c r="R34" s="92">
        <f>+ Equity_market!D37</f>
        <v>0</v>
      </c>
      <c r="T34" s="95">
        <v>10</v>
      </c>
      <c r="U34" s="92">
        <f>+ Equity_market!G37</f>
        <v>0</v>
      </c>
      <c r="V34" s="92">
        <f>+ Equity_market!H37</f>
        <v>0</v>
      </c>
      <c r="W34" s="92">
        <f>+ Equity_market!I37</f>
        <v>0</v>
      </c>
    </row>
    <row r="36" spans="3:23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3:23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3:23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3:23">
      <c r="C39" s="129" t="s">
        <v>161</v>
      </c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</row>
    <row r="40" spans="3:23"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</row>
    <row r="41" spans="3:23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3:23">
      <c r="C42"/>
      <c r="D42"/>
      <c r="E42" s="117">
        <f>+'Performance sheet'!C36</f>
        <v>0</v>
      </c>
      <c r="F42" s="117"/>
      <c r="G42" s="117"/>
      <c r="H42" s="94" t="s">
        <v>96</v>
      </c>
      <c r="I42" s="117" t="s">
        <v>162</v>
      </c>
      <c r="J42" s="117"/>
      <c r="K42" s="117" t="s">
        <v>163</v>
      </c>
      <c r="L42" s="117"/>
      <c r="M42" s="94" t="s">
        <v>164</v>
      </c>
      <c r="N42" s="117" t="s">
        <v>165</v>
      </c>
      <c r="O42" s="117"/>
      <c r="P42" s="117"/>
      <c r="Q42" s="94" t="s">
        <v>167</v>
      </c>
      <c r="R42" s="94" t="s">
        <v>168</v>
      </c>
      <c r="S42" s="94" t="s">
        <v>52</v>
      </c>
      <c r="T42" s="117" t="s">
        <v>169</v>
      </c>
      <c r="U42" s="117"/>
      <c r="V42" s="94" t="s">
        <v>157</v>
      </c>
      <c r="W42" s="94" t="s">
        <v>170</v>
      </c>
    </row>
    <row r="43" spans="3:23">
      <c r="C43"/>
      <c r="D43"/>
      <c r="E43" s="132">
        <f>+'Performance sheet'!C37</f>
        <v>0</v>
      </c>
      <c r="F43" s="133"/>
      <c r="G43" s="133"/>
      <c r="H43" s="105">
        <f>+'Performance sheet'!E37</f>
        <v>0</v>
      </c>
      <c r="I43" s="135">
        <f>+'Performance sheet'!M37</f>
        <v>0</v>
      </c>
      <c r="J43" s="136"/>
      <c r="K43" s="136">
        <f>+'Performance sheet'!N37</f>
        <v>0</v>
      </c>
      <c r="L43" s="136"/>
      <c r="M43" s="97">
        <f>+'Performance sheet'!O37</f>
        <v>0</v>
      </c>
      <c r="N43" s="136">
        <f>+'Performance sheet'!P37</f>
        <v>0</v>
      </c>
      <c r="O43" s="136"/>
      <c r="P43" s="136"/>
      <c r="Q43" s="97">
        <f>+SUM(I43:P43)</f>
        <v>0</v>
      </c>
      <c r="R43" s="98">
        <f>+'Performance sheet'!G37</f>
        <v>0</v>
      </c>
      <c r="S43" s="102">
        <f>+'Performance sheet'!F37</f>
        <v>0</v>
      </c>
      <c r="T43" s="134">
        <f>+'Performance sheet'!I37</f>
        <v>0</v>
      </c>
      <c r="U43" s="134"/>
      <c r="V43" s="104">
        <f>+'Performance sheet'!H37</f>
        <v>0</v>
      </c>
      <c r="W43" s="103">
        <f>+'Performance sheet'!K37</f>
        <v>0</v>
      </c>
    </row>
    <row r="44" spans="3:23">
      <c r="C44"/>
      <c r="D44"/>
      <c r="E44" s="132">
        <f>+'Performance sheet'!C38</f>
        <v>0</v>
      </c>
      <c r="F44" s="133"/>
      <c r="G44" s="133"/>
      <c r="H44" s="105">
        <f>+'Performance sheet'!E38</f>
        <v>0</v>
      </c>
      <c r="I44" s="135">
        <f>+'Performance sheet'!M38</f>
        <v>0</v>
      </c>
      <c r="J44" s="136"/>
      <c r="K44" s="136">
        <f>+'Performance sheet'!N38</f>
        <v>0</v>
      </c>
      <c r="L44" s="136"/>
      <c r="M44" s="97">
        <f>+'Performance sheet'!O38</f>
        <v>0</v>
      </c>
      <c r="N44" s="136">
        <f>+'Performance sheet'!P38</f>
        <v>0</v>
      </c>
      <c r="O44" s="136"/>
      <c r="P44" s="136"/>
      <c r="Q44" s="97">
        <f t="shared" ref="Q44:Q52" si="0">+SUM(I44:P44)</f>
        <v>0</v>
      </c>
      <c r="R44" s="98">
        <f>+'Performance sheet'!G38</f>
        <v>0</v>
      </c>
      <c r="S44" s="102">
        <f>+'Performance sheet'!F38</f>
        <v>0</v>
      </c>
      <c r="T44" s="134">
        <f>+'Performance sheet'!I38</f>
        <v>0</v>
      </c>
      <c r="U44" s="134"/>
      <c r="V44" s="104">
        <f>+'Performance sheet'!H38</f>
        <v>0</v>
      </c>
      <c r="W44" s="103">
        <f>+'Performance sheet'!K38</f>
        <v>0</v>
      </c>
    </row>
    <row r="45" spans="3:23">
      <c r="C45"/>
      <c r="D45"/>
      <c r="E45" s="132">
        <f>+'Performance sheet'!C39</f>
        <v>0</v>
      </c>
      <c r="F45" s="133"/>
      <c r="G45" s="133"/>
      <c r="H45" s="105">
        <f>+'Performance sheet'!E39</f>
        <v>0</v>
      </c>
      <c r="I45" s="135">
        <f>+'Performance sheet'!M39</f>
        <v>0</v>
      </c>
      <c r="J45" s="136"/>
      <c r="K45" s="136">
        <f>+'Performance sheet'!N39</f>
        <v>0</v>
      </c>
      <c r="L45" s="136"/>
      <c r="M45" s="97">
        <f>+'Performance sheet'!O39</f>
        <v>0</v>
      </c>
      <c r="N45" s="136">
        <f>+'Performance sheet'!P39</f>
        <v>0</v>
      </c>
      <c r="O45" s="136"/>
      <c r="P45" s="136"/>
      <c r="Q45" s="97">
        <f t="shared" si="0"/>
        <v>0</v>
      </c>
      <c r="R45" s="98">
        <f>+'Performance sheet'!G39</f>
        <v>0</v>
      </c>
      <c r="S45" s="102">
        <f>+'Performance sheet'!F39</f>
        <v>0</v>
      </c>
      <c r="T45" s="134">
        <f>+'Performance sheet'!I39</f>
        <v>0</v>
      </c>
      <c r="U45" s="134"/>
      <c r="V45" s="104">
        <f>+'Performance sheet'!H39</f>
        <v>0</v>
      </c>
      <c r="W45" s="103">
        <f>+'Performance sheet'!K39</f>
        <v>0</v>
      </c>
    </row>
    <row r="46" spans="3:23">
      <c r="C46"/>
      <c r="D46"/>
      <c r="E46" s="132">
        <f>+'Performance sheet'!C40</f>
        <v>0</v>
      </c>
      <c r="F46" s="133"/>
      <c r="G46" s="133"/>
      <c r="H46" s="105">
        <f>+'Performance sheet'!E40</f>
        <v>0</v>
      </c>
      <c r="I46" s="135">
        <f>+'Performance sheet'!M40</f>
        <v>0</v>
      </c>
      <c r="J46" s="136"/>
      <c r="K46" s="136">
        <f>+'Performance sheet'!N40</f>
        <v>0</v>
      </c>
      <c r="L46" s="136"/>
      <c r="M46" s="97">
        <f>+'Performance sheet'!O40</f>
        <v>0</v>
      </c>
      <c r="N46" s="136">
        <f>+'Performance sheet'!P40</f>
        <v>0</v>
      </c>
      <c r="O46" s="136"/>
      <c r="P46" s="136"/>
      <c r="Q46" s="97">
        <f t="shared" si="0"/>
        <v>0</v>
      </c>
      <c r="R46" s="98">
        <f>+'Performance sheet'!G40</f>
        <v>0</v>
      </c>
      <c r="S46" s="102">
        <f>+'Performance sheet'!F40</f>
        <v>0</v>
      </c>
      <c r="T46" s="134">
        <f>+'Performance sheet'!I40</f>
        <v>0</v>
      </c>
      <c r="U46" s="134"/>
      <c r="V46" s="104">
        <f>+'Performance sheet'!H40</f>
        <v>0</v>
      </c>
      <c r="W46" s="103">
        <f>+'Performance sheet'!K40</f>
        <v>0</v>
      </c>
    </row>
    <row r="47" spans="3:23">
      <c r="C47"/>
      <c r="D47"/>
      <c r="E47" s="132">
        <f>+'Performance sheet'!C41</f>
        <v>0</v>
      </c>
      <c r="F47" s="133"/>
      <c r="G47" s="133"/>
      <c r="H47" s="105">
        <f>+'Performance sheet'!E41</f>
        <v>0</v>
      </c>
      <c r="I47" s="135">
        <f>+'Performance sheet'!M41</f>
        <v>0</v>
      </c>
      <c r="J47" s="136"/>
      <c r="K47" s="136">
        <f>+'Performance sheet'!N41</f>
        <v>0</v>
      </c>
      <c r="L47" s="136"/>
      <c r="M47" s="97">
        <f>+'Performance sheet'!O41</f>
        <v>0</v>
      </c>
      <c r="N47" s="136">
        <f>+'Performance sheet'!P41</f>
        <v>0</v>
      </c>
      <c r="O47" s="136"/>
      <c r="P47" s="136"/>
      <c r="Q47" s="97">
        <f t="shared" si="0"/>
        <v>0</v>
      </c>
      <c r="R47" s="98">
        <f>+'Performance sheet'!G41</f>
        <v>0</v>
      </c>
      <c r="S47" s="102">
        <f>+'Performance sheet'!F41</f>
        <v>0</v>
      </c>
      <c r="T47" s="134">
        <f>+'Performance sheet'!I41</f>
        <v>0</v>
      </c>
      <c r="U47" s="134"/>
      <c r="V47" s="104">
        <f>+'Performance sheet'!H41</f>
        <v>0</v>
      </c>
      <c r="W47" s="103">
        <f>+'Performance sheet'!K41</f>
        <v>0</v>
      </c>
    </row>
    <row r="48" spans="3:23">
      <c r="C48"/>
      <c r="D48"/>
      <c r="E48" s="132">
        <f>+'Performance sheet'!C42</f>
        <v>0</v>
      </c>
      <c r="F48" s="133"/>
      <c r="G48" s="133"/>
      <c r="H48" s="105">
        <f>+'Performance sheet'!E42</f>
        <v>0</v>
      </c>
      <c r="I48" s="135">
        <f>+'Performance sheet'!M42</f>
        <v>0</v>
      </c>
      <c r="J48" s="136"/>
      <c r="K48" s="136">
        <f>+'Performance sheet'!N42</f>
        <v>0</v>
      </c>
      <c r="L48" s="136"/>
      <c r="M48" s="97">
        <f>+'Performance sheet'!O42</f>
        <v>0</v>
      </c>
      <c r="N48" s="136">
        <f>+'Performance sheet'!P42</f>
        <v>0</v>
      </c>
      <c r="O48" s="136"/>
      <c r="P48" s="136"/>
      <c r="Q48" s="97">
        <f t="shared" si="0"/>
        <v>0</v>
      </c>
      <c r="R48" s="98">
        <f>+'Performance sheet'!G42</f>
        <v>0</v>
      </c>
      <c r="S48" s="102">
        <f>+'Performance sheet'!F42</f>
        <v>0</v>
      </c>
      <c r="T48" s="134">
        <f>+'Performance sheet'!I42</f>
        <v>0</v>
      </c>
      <c r="U48" s="134"/>
      <c r="V48" s="104">
        <f>+'Performance sheet'!H42</f>
        <v>0</v>
      </c>
      <c r="W48" s="103">
        <f>+'Performance sheet'!K42</f>
        <v>0</v>
      </c>
    </row>
    <row r="49" spans="3:23">
      <c r="C49"/>
      <c r="D49"/>
      <c r="E49" s="132">
        <f>+'Performance sheet'!C43</f>
        <v>0</v>
      </c>
      <c r="F49" s="133"/>
      <c r="G49" s="133"/>
      <c r="H49" s="105">
        <f>+'Performance sheet'!E43</f>
        <v>0</v>
      </c>
      <c r="I49" s="135">
        <f>+'Performance sheet'!M43</f>
        <v>0</v>
      </c>
      <c r="J49" s="136"/>
      <c r="K49" s="136">
        <f>+'Performance sheet'!N43</f>
        <v>0</v>
      </c>
      <c r="L49" s="136"/>
      <c r="M49" s="97">
        <f>+'Performance sheet'!O43</f>
        <v>0</v>
      </c>
      <c r="N49" s="136">
        <f>+'Performance sheet'!P43</f>
        <v>0</v>
      </c>
      <c r="O49" s="136"/>
      <c r="P49" s="136"/>
      <c r="Q49" s="97">
        <f t="shared" si="0"/>
        <v>0</v>
      </c>
      <c r="R49" s="98">
        <f>+'Performance sheet'!G43</f>
        <v>0</v>
      </c>
      <c r="S49" s="102">
        <f>+'Performance sheet'!F43</f>
        <v>0</v>
      </c>
      <c r="T49" s="134">
        <f>+'Performance sheet'!I43</f>
        <v>0</v>
      </c>
      <c r="U49" s="134"/>
      <c r="V49" s="104">
        <f>+'Performance sheet'!H43</f>
        <v>0</v>
      </c>
      <c r="W49" s="103">
        <f>+'Performance sheet'!K43</f>
        <v>0</v>
      </c>
    </row>
    <row r="50" spans="3:23">
      <c r="C50"/>
      <c r="D50"/>
      <c r="E50" s="132">
        <f>+'Performance sheet'!C44</f>
        <v>0</v>
      </c>
      <c r="F50" s="133"/>
      <c r="G50" s="133"/>
      <c r="H50" s="105">
        <f>+'Performance sheet'!E44</f>
        <v>0</v>
      </c>
      <c r="I50" s="135">
        <f>+'Performance sheet'!M44</f>
        <v>0</v>
      </c>
      <c r="J50" s="136"/>
      <c r="K50" s="136">
        <f>+'Performance sheet'!N44</f>
        <v>0</v>
      </c>
      <c r="L50" s="136"/>
      <c r="M50" s="97">
        <f>+'Performance sheet'!O44</f>
        <v>0</v>
      </c>
      <c r="N50" s="136">
        <f>+'Performance sheet'!P44</f>
        <v>0</v>
      </c>
      <c r="O50" s="136"/>
      <c r="P50" s="136"/>
      <c r="Q50" s="97">
        <f t="shared" si="0"/>
        <v>0</v>
      </c>
      <c r="R50" s="98">
        <f>+'Performance sheet'!G44</f>
        <v>0</v>
      </c>
      <c r="S50" s="102">
        <f>+'Performance sheet'!F44</f>
        <v>0</v>
      </c>
      <c r="T50" s="134">
        <f>+'Performance sheet'!I44</f>
        <v>0</v>
      </c>
      <c r="U50" s="134"/>
      <c r="V50" s="104">
        <f>+'Performance sheet'!H44</f>
        <v>0</v>
      </c>
      <c r="W50" s="103">
        <f>+'Performance sheet'!K44</f>
        <v>0</v>
      </c>
    </row>
    <row r="51" spans="3:23">
      <c r="C51"/>
      <c r="D51"/>
      <c r="E51" s="132">
        <f>+'Performance sheet'!C45</f>
        <v>0</v>
      </c>
      <c r="F51" s="133"/>
      <c r="G51" s="133"/>
      <c r="H51" s="105">
        <f>+'Performance sheet'!E45</f>
        <v>0</v>
      </c>
      <c r="I51" s="135">
        <f>+'Performance sheet'!M45</f>
        <v>0</v>
      </c>
      <c r="J51" s="136"/>
      <c r="K51" s="136">
        <f>+'Performance sheet'!N45</f>
        <v>0</v>
      </c>
      <c r="L51" s="136"/>
      <c r="M51" s="97">
        <f>+'Performance sheet'!O45</f>
        <v>0</v>
      </c>
      <c r="N51" s="136">
        <f>+'Performance sheet'!P45</f>
        <v>0</v>
      </c>
      <c r="O51" s="136"/>
      <c r="P51" s="136"/>
      <c r="Q51" s="97">
        <f t="shared" si="0"/>
        <v>0</v>
      </c>
      <c r="R51" s="98">
        <f>+'Performance sheet'!G45</f>
        <v>0</v>
      </c>
      <c r="S51" s="102">
        <f>+'Performance sheet'!F45</f>
        <v>0</v>
      </c>
      <c r="T51" s="134">
        <f>+'Performance sheet'!I45</f>
        <v>0</v>
      </c>
      <c r="U51" s="134"/>
      <c r="V51" s="104">
        <f>+'Performance sheet'!H45</f>
        <v>0</v>
      </c>
      <c r="W51" s="103">
        <f>+'Performance sheet'!K45</f>
        <v>0</v>
      </c>
    </row>
    <row r="52" spans="3:23">
      <c r="C52"/>
      <c r="D52"/>
      <c r="E52" s="132">
        <f>+'Performance sheet'!C46</f>
        <v>0</v>
      </c>
      <c r="F52" s="133"/>
      <c r="G52" s="133"/>
      <c r="H52" s="105">
        <f>+'Performance sheet'!E46</f>
        <v>0</v>
      </c>
      <c r="I52" s="135">
        <f>+'Performance sheet'!M46</f>
        <v>0</v>
      </c>
      <c r="J52" s="136"/>
      <c r="K52" s="136">
        <f>+'Performance sheet'!N46</f>
        <v>0</v>
      </c>
      <c r="L52" s="136"/>
      <c r="M52" s="97">
        <f>+'Performance sheet'!O46</f>
        <v>0</v>
      </c>
      <c r="N52" s="136">
        <f>+'Performance sheet'!P46</f>
        <v>0</v>
      </c>
      <c r="O52" s="136"/>
      <c r="P52" s="136"/>
      <c r="Q52" s="97">
        <f t="shared" si="0"/>
        <v>0</v>
      </c>
      <c r="R52" s="98">
        <f>+'Performance sheet'!G46</f>
        <v>0</v>
      </c>
      <c r="S52" s="102">
        <f>+'Performance sheet'!F46</f>
        <v>0</v>
      </c>
      <c r="T52" s="134">
        <f>+'Performance sheet'!I46</f>
        <v>0</v>
      </c>
      <c r="U52" s="134"/>
      <c r="V52" s="104">
        <f>+'Performance sheet'!H46</f>
        <v>0</v>
      </c>
      <c r="W52" s="103">
        <f>+'Performance sheet'!K46</f>
        <v>0</v>
      </c>
    </row>
    <row r="53" spans="3:23">
      <c r="C53"/>
      <c r="D53"/>
      <c r="E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3:23">
      <c r="C54"/>
      <c r="D54"/>
      <c r="E54" s="133" t="s">
        <v>166</v>
      </c>
      <c r="F54" s="133"/>
      <c r="G54" s="133"/>
      <c r="H54" s="105" t="str">
        <f>IFERROR(+SUMPRODUCT(H43:H52,Q43:Q52)/SUM(Q43:Q52),"-")</f>
        <v>-</v>
      </c>
      <c r="I54" s="137">
        <f>+SUM(I43:J52)</f>
        <v>0</v>
      </c>
      <c r="J54" s="137"/>
      <c r="K54" s="137">
        <f>+SUM(K43:L52)</f>
        <v>0</v>
      </c>
      <c r="L54" s="137"/>
      <c r="M54" s="96">
        <f>+SUM(M43:M52)</f>
        <v>0</v>
      </c>
      <c r="N54" s="120">
        <f>+SUM(N43:N52)</f>
        <v>0</v>
      </c>
      <c r="O54" s="120"/>
      <c r="P54" s="120"/>
      <c r="Q54" s="100">
        <f>+SUM(Q43:Q52)</f>
        <v>0</v>
      </c>
      <c r="R54" s="99">
        <f>+SUM(R43:R52)</f>
        <v>0</v>
      </c>
      <c r="S54" s="99">
        <f>+AVERAGE(S43:S52)</f>
        <v>0</v>
      </c>
      <c r="T54" s="134">
        <f>+SUM(T43:U52)</f>
        <v>0</v>
      </c>
      <c r="U54" s="134"/>
      <c r="V54" s="99">
        <f>+AVERAGE(V43:V52)</f>
        <v>0</v>
      </c>
      <c r="W54" s="101" t="s">
        <v>171</v>
      </c>
    </row>
    <row r="55" spans="3:23">
      <c r="C55"/>
      <c r="D55"/>
      <c r="E55"/>
      <c r="F55"/>
      <c r="G55"/>
      <c r="H55" s="6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3:23"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3:23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3:23"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3:23"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3:23"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3:23"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3:23"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3:23"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3:23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3:23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3:23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3:23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3:23"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3:23"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3:23"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3:23"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3:23"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3:23"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3:23"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</sheetData>
  <mergeCells count="67">
    <mergeCell ref="E54:G54"/>
    <mergeCell ref="I54:J54"/>
    <mergeCell ref="K54:L54"/>
    <mergeCell ref="N54:P54"/>
    <mergeCell ref="T54:U54"/>
    <mergeCell ref="T48:U48"/>
    <mergeCell ref="T49:U49"/>
    <mergeCell ref="T50:U50"/>
    <mergeCell ref="T51:U51"/>
    <mergeCell ref="T52:U52"/>
    <mergeCell ref="K51:L51"/>
    <mergeCell ref="K52:L52"/>
    <mergeCell ref="N43:P43"/>
    <mergeCell ref="N44:P44"/>
    <mergeCell ref="N45:P45"/>
    <mergeCell ref="N46:P46"/>
    <mergeCell ref="N47:P47"/>
    <mergeCell ref="N48:P48"/>
    <mergeCell ref="N49:P49"/>
    <mergeCell ref="N50:P50"/>
    <mergeCell ref="N51:P51"/>
    <mergeCell ref="N52:P52"/>
    <mergeCell ref="K46:L46"/>
    <mergeCell ref="K47:L47"/>
    <mergeCell ref="K48:L48"/>
    <mergeCell ref="K49:L49"/>
    <mergeCell ref="K50:L50"/>
    <mergeCell ref="K42:L42"/>
    <mergeCell ref="N42:P42"/>
    <mergeCell ref="I43:J43"/>
    <mergeCell ref="I44:J44"/>
    <mergeCell ref="I45:J45"/>
    <mergeCell ref="K43:L43"/>
    <mergeCell ref="K44:L44"/>
    <mergeCell ref="K45:L45"/>
    <mergeCell ref="E49:G49"/>
    <mergeCell ref="E50:G50"/>
    <mergeCell ref="E51:G51"/>
    <mergeCell ref="E52:G52"/>
    <mergeCell ref="I42:J42"/>
    <mergeCell ref="I46:J46"/>
    <mergeCell ref="I47:J47"/>
    <mergeCell ref="I48:J48"/>
    <mergeCell ref="I49:J49"/>
    <mergeCell ref="I50:J50"/>
    <mergeCell ref="I51:J51"/>
    <mergeCell ref="I52:J52"/>
    <mergeCell ref="E44:G44"/>
    <mergeCell ref="E45:G45"/>
    <mergeCell ref="E46:G46"/>
    <mergeCell ref="E47:G47"/>
    <mergeCell ref="E48:G48"/>
    <mergeCell ref="E42:G42"/>
    <mergeCell ref="E43:G43"/>
    <mergeCell ref="C39:W40"/>
    <mergeCell ref="C4:W5"/>
    <mergeCell ref="C7:C34"/>
    <mergeCell ref="E7:M7"/>
    <mergeCell ref="O7:W7"/>
    <mergeCell ref="E22:M22"/>
    <mergeCell ref="O22:W22"/>
    <mergeCell ref="T42:U42"/>
    <mergeCell ref="T43:U43"/>
    <mergeCell ref="T44:U44"/>
    <mergeCell ref="T45:U45"/>
    <mergeCell ref="T46:U46"/>
    <mergeCell ref="T47:U47"/>
  </mergeCells>
  <conditionalFormatting sqref="R43:R52">
    <cfRule type="cellIs" dxfId="39" priority="33" operator="lessThan">
      <formula>0</formula>
    </cfRule>
    <cfRule type="cellIs" dxfId="38" priority="34" operator="greaterThan">
      <formula>0</formula>
    </cfRule>
  </conditionalFormatting>
  <conditionalFormatting sqref="R54">
    <cfRule type="cellIs" dxfId="37" priority="25" operator="lessThan">
      <formula>0</formula>
    </cfRule>
    <cfRule type="cellIs" dxfId="36" priority="26" operator="greaterThan">
      <formula>0</formula>
    </cfRule>
  </conditionalFormatting>
  <conditionalFormatting sqref="S54">
    <cfRule type="cellIs" dxfId="35" priority="23" operator="lessThan">
      <formula>0</formula>
    </cfRule>
    <cfRule type="cellIs" dxfId="34" priority="24" operator="greaterThan">
      <formula>0</formula>
    </cfRule>
  </conditionalFormatting>
  <conditionalFormatting sqref="T54">
    <cfRule type="cellIs" dxfId="33" priority="21" operator="lessThan">
      <formula>0</formula>
    </cfRule>
    <cfRule type="cellIs" dxfId="32" priority="22" operator="greaterThan">
      <formula>0</formula>
    </cfRule>
  </conditionalFormatting>
  <conditionalFormatting sqref="V54">
    <cfRule type="cellIs" dxfId="31" priority="19" operator="lessThan">
      <formula>0</formula>
    </cfRule>
    <cfRule type="cellIs" dxfId="30" priority="20" operator="greaterThan">
      <formula>0</formula>
    </cfRule>
  </conditionalFormatting>
  <conditionalFormatting sqref="F10:F19">
    <cfRule type="cellIs" dxfId="29" priority="17" operator="lessThan">
      <formula>0</formula>
    </cfRule>
    <cfRule type="cellIs" dxfId="28" priority="18" operator="greaterThan">
      <formula>0</formula>
    </cfRule>
  </conditionalFormatting>
  <conditionalFormatting sqref="K10:K19">
    <cfRule type="cellIs" dxfId="27" priority="15" operator="lessThan">
      <formula>0</formula>
    </cfRule>
    <cfRule type="cellIs" dxfId="26" priority="16" operator="greaterThan">
      <formula>0</formula>
    </cfRule>
  </conditionalFormatting>
  <conditionalFormatting sqref="P10:P19">
    <cfRule type="cellIs" dxfId="25" priority="13" operator="lessThan">
      <formula>0</formula>
    </cfRule>
    <cfRule type="cellIs" dxfId="24" priority="14" operator="greaterThan">
      <formula>0</formula>
    </cfRule>
  </conditionalFormatting>
  <conditionalFormatting sqref="U10:U19">
    <cfRule type="cellIs" dxfId="23" priority="11" operator="lessThan">
      <formula>0</formula>
    </cfRule>
    <cfRule type="cellIs" dxfId="22" priority="12" operator="greaterThan">
      <formula>0</formula>
    </cfRule>
  </conditionalFormatting>
  <conditionalFormatting sqref="U25:U34">
    <cfRule type="cellIs" dxfId="21" priority="9" operator="lessThan">
      <formula>0</formula>
    </cfRule>
    <cfRule type="cellIs" dxfId="20" priority="10" operator="greaterThan">
      <formula>0</formula>
    </cfRule>
  </conditionalFormatting>
  <conditionalFormatting sqref="P25:P34">
    <cfRule type="cellIs" dxfId="19" priority="7" operator="lessThan">
      <formula>0</formula>
    </cfRule>
    <cfRule type="cellIs" dxfId="18" priority="8" operator="greaterThan">
      <formula>0</formula>
    </cfRule>
  </conditionalFormatting>
  <conditionalFormatting sqref="K25:K34">
    <cfRule type="cellIs" dxfId="17" priority="5" operator="lessThan">
      <formula>0</formula>
    </cfRule>
    <cfRule type="cellIs" dxfId="16" priority="6" operator="greaterThan">
      <formula>0</formula>
    </cfRule>
  </conditionalFormatting>
  <conditionalFormatting sqref="F25:F34">
    <cfRule type="cellIs" dxfId="15" priority="3" operator="lessThan">
      <formula>0</formula>
    </cfRule>
    <cfRule type="cellIs" dxfId="14" priority="4" operator="greaterThan">
      <formula>0</formula>
    </cfRule>
  </conditionalFormatting>
  <conditionalFormatting sqref="V43:V52 S43:T52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C4:AT46"/>
  <sheetViews>
    <sheetView topLeftCell="A16" workbookViewId="0">
      <selection activeCell="C36" sqref="C36:P46"/>
    </sheetView>
  </sheetViews>
  <sheetFormatPr defaultRowHeight="15"/>
  <sheetData>
    <row r="4" spans="3:46" s="67" customFormat="1" ht="15.75" thickBot="1"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</row>
    <row r="5" spans="3:46" s="67" customFormat="1" ht="15.75" thickTop="1">
      <c r="C5" s="19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R5" s="69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G5" s="69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</row>
    <row r="6" spans="3:46" s="67" customFormat="1">
      <c r="C6" s="20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R6" s="70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G6" s="70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3:46" s="67" customFormat="1" ht="15.75" thickBot="1">
      <c r="C7" s="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R7" s="7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G7" s="7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3:46" ht="15.75" thickTop="1"/>
    <row r="36" spans="3:16" s="77" customFormat="1"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3:16" s="77" customFormat="1"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3:16" s="77" customFormat="1"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3:16" s="77" customFormat="1"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3:16" s="77" customFormat="1"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3:16" s="77" customFormat="1"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3:16" s="77" customFormat="1"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3:16" s="77" customFormat="1"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3:16" s="77" customFormat="1"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3:16" s="77" customFormat="1"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3:16" s="77" customFormat="1"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</sheetData>
  <conditionalFormatting sqref="D5:P7">
    <cfRule type="cellIs" dxfId="11" priority="1" stopIfTrue="1" operator="equal">
      <formula>"n.d."</formula>
    </cfRule>
    <cfRule type="cellIs" dxfId="10" priority="2" stopIfTrue="1" operator="equal">
      <formula>0</formula>
    </cfRule>
    <cfRule type="cellIs" dxfId="9" priority="3" stopIfTrue="1" operator="greaterThan">
      <formula>0</formula>
    </cfRule>
    <cfRule type="cellIs" dxfId="8" priority="4" stopIfTrue="1" operator="lessThan">
      <formula>0</formula>
    </cfRule>
  </conditionalFormatting>
  <conditionalFormatting sqref="S5:AE7">
    <cfRule type="cellIs" dxfId="7" priority="5" stopIfTrue="1" operator="equal">
      <formula>"n.d."</formula>
    </cfRule>
    <cfRule type="cellIs" dxfId="6" priority="6" stopIfTrue="1" operator="equal">
      <formula>0</formula>
    </cfRule>
    <cfRule type="cellIs" dxfId="5" priority="7" stopIfTrue="1" operator="greaterThan">
      <formula>0</formula>
    </cfRule>
    <cfRule type="cellIs" dxfId="4" priority="8" stopIfTrue="1" operator="lessThan">
      <formula>0</formula>
    </cfRule>
  </conditionalFormatting>
  <conditionalFormatting sqref="AH5:AT7">
    <cfRule type="cellIs" dxfId="3" priority="9" stopIfTrue="1" operator="equal">
      <formula>"n.d."</formula>
    </cfRule>
    <cfRule type="cellIs" dxfId="2" priority="10" stopIfTrue="1" operator="equal">
      <formula>0</formula>
    </cfRule>
    <cfRule type="cellIs" dxfId="1" priority="11" stopIfTrue="1" operator="greaterThan">
      <formula>0</formula>
    </cfRule>
    <cfRule type="cellIs" dxfId="0" priority="12" stopIfTrue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9"/>
  <dimension ref="C4:W50"/>
  <sheetViews>
    <sheetView tabSelected="1" workbookViewId="0">
      <selection activeCell="C6" sqref="C6"/>
    </sheetView>
  </sheetViews>
  <sheetFormatPr defaultRowHeight="15"/>
  <sheetData>
    <row r="4" spans="3:23">
      <c r="C4" s="129" t="s">
        <v>185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</row>
    <row r="5" spans="3:23"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</row>
    <row r="6" spans="3:23" ht="18.75">
      <c r="C6" s="109"/>
    </row>
    <row r="7" spans="3:23">
      <c r="C7" s="107"/>
    </row>
    <row r="8" spans="3:23">
      <c r="C8" s="110"/>
    </row>
    <row r="9" spans="3:23">
      <c r="C9" s="108"/>
    </row>
    <row r="10" spans="3:23">
      <c r="C10" s="108"/>
    </row>
    <row r="11" spans="3:23">
      <c r="C11" s="108"/>
    </row>
    <row r="12" spans="3:23">
      <c r="C12" s="108"/>
    </row>
    <row r="13" spans="3:23">
      <c r="C13" s="108"/>
    </row>
    <row r="14" spans="3:23">
      <c r="C14" s="108"/>
    </row>
    <row r="15" spans="3:23">
      <c r="C15" s="106"/>
    </row>
    <row r="16" spans="3:23">
      <c r="C16" s="107"/>
    </row>
    <row r="17" spans="3:3">
      <c r="C17" s="107"/>
    </row>
    <row r="38" spans="22:22">
      <c r="V38" s="78"/>
    </row>
    <row r="50" spans="22:22">
      <c r="V50" t="s">
        <v>128</v>
      </c>
    </row>
  </sheetData>
  <mergeCells count="1">
    <mergeCell ref="C4:W5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0"/>
  <dimension ref="A1"/>
  <sheetViews>
    <sheetView workbookViewId="0">
      <selection activeCell="D5" sqref="D5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30</vt:i4>
      </vt:variant>
    </vt:vector>
  </HeadingPairs>
  <TitlesOfParts>
    <vt:vector size="30" baseType="lpstr">
      <vt:lpstr>Benchmark price</vt:lpstr>
      <vt:lpstr>Benchmark returns</vt:lpstr>
      <vt:lpstr>Benchmark performance</vt:lpstr>
      <vt:lpstr>Equity price</vt:lpstr>
      <vt:lpstr>Equity returns</vt:lpstr>
      <vt:lpstr>Equity performance</vt:lpstr>
      <vt:lpstr>Bond Value</vt:lpstr>
      <vt:lpstr>Bond performance</vt:lpstr>
      <vt:lpstr>Pir performance</vt:lpstr>
      <vt:lpstr>Weights</vt:lpstr>
      <vt:lpstr>Macro</vt:lpstr>
      <vt:lpstr>First Page</vt:lpstr>
      <vt:lpstr>Summary</vt:lpstr>
      <vt:lpstr>Performance analysis</vt:lpstr>
      <vt:lpstr>PIR Chart</vt:lpstr>
      <vt:lpstr>Subs</vt:lpstr>
      <vt:lpstr>Var</vt:lpstr>
      <vt:lpstr>EQUITY Chart</vt:lpstr>
      <vt:lpstr>Equity port</vt:lpstr>
      <vt:lpstr>BOND Chart</vt:lpstr>
      <vt:lpstr>Bond port</vt:lpstr>
      <vt:lpstr>ZZZ_pic</vt:lpstr>
      <vt:lpstr>Perf Chart</vt:lpstr>
      <vt:lpstr>Equity_market</vt:lpstr>
      <vt:lpstr>Equity_industry</vt:lpstr>
      <vt:lpstr>Market_equity</vt:lpstr>
      <vt:lpstr>Market_equity_ctd</vt:lpstr>
      <vt:lpstr>Performance sheet</vt:lpstr>
      <vt:lpstr>Disclaimer</vt:lpstr>
      <vt:lpstr>TB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Rossetti Giulio</cp:lastModifiedBy>
  <cp:lastPrinted>2019-02-14T10:42:33Z</cp:lastPrinted>
  <dcterms:created xsi:type="dcterms:W3CDTF">2019-01-25T15:06:47Z</dcterms:created>
  <dcterms:modified xsi:type="dcterms:W3CDTF">2019-06-06T08:29:30Z</dcterms:modified>
</cp:coreProperties>
</file>